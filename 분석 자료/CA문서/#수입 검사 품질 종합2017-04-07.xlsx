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★HSL\★★★품질\#1.QC\2.품질현황\2025\1.수입검사\"/>
    </mc:Choice>
  </mc:AlternateContent>
  <bookViews>
    <workbookView xWindow="0" yWindow="0" windowWidth="16380" windowHeight="8190" tabRatio="500" activeTab="1"/>
  </bookViews>
  <sheets>
    <sheet name="수입검사 대장" sheetId="1" r:id="rId1"/>
    <sheet name="수입검사" sheetId="2" r:id="rId2"/>
    <sheet name="업체별 현황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'수입검사 대장'!$B$4:$Y$6</definedName>
    <definedName name="Y">#REF!</definedName>
  </definedNames>
  <calcPr calcId="162913"/>
</workbook>
</file>

<file path=xl/calcChain.xml><?xml version="1.0" encoding="utf-8"?>
<calcChain xmlns="http://schemas.openxmlformats.org/spreadsheetml/2006/main">
  <c r="O74" i="2" l="1"/>
  <c r="N12" i="2" l="1"/>
  <c r="N11" i="2"/>
  <c r="M12" i="2"/>
  <c r="M11" i="2"/>
  <c r="L12" i="2"/>
  <c r="L11" i="2"/>
  <c r="K12" i="2"/>
  <c r="K11" i="2"/>
  <c r="O72" i="2" l="1"/>
  <c r="N72" i="2"/>
  <c r="N71" i="2"/>
  <c r="M72" i="2"/>
  <c r="M71" i="2"/>
  <c r="L72" i="2"/>
  <c r="L71" i="2"/>
  <c r="K72" i="2"/>
  <c r="K71" i="2"/>
  <c r="J72" i="2"/>
  <c r="J71" i="2"/>
  <c r="I72" i="2"/>
  <c r="I71" i="2"/>
  <c r="H72" i="2"/>
  <c r="H71" i="2"/>
  <c r="G72" i="2"/>
  <c r="G71" i="2"/>
  <c r="F72" i="2"/>
  <c r="F71" i="2"/>
  <c r="E72" i="2"/>
  <c r="E71" i="2"/>
  <c r="D72" i="2"/>
  <c r="D71" i="2"/>
  <c r="C72" i="2"/>
  <c r="C71" i="2"/>
  <c r="O26" i="2"/>
  <c r="N26" i="2"/>
  <c r="N25" i="2"/>
  <c r="M26" i="2"/>
  <c r="M25" i="2"/>
  <c r="L26" i="2"/>
  <c r="L25" i="2"/>
  <c r="K26" i="2"/>
  <c r="K25" i="2"/>
  <c r="J26" i="2"/>
  <c r="J25" i="2"/>
  <c r="I26" i="2"/>
  <c r="I25" i="2"/>
  <c r="H26" i="2"/>
  <c r="H25" i="2"/>
  <c r="G26" i="2"/>
  <c r="G25" i="2"/>
  <c r="F26" i="2"/>
  <c r="F25" i="2"/>
  <c r="E26" i="2"/>
  <c r="E25" i="2"/>
  <c r="D26" i="2"/>
  <c r="D25" i="2"/>
  <c r="C26" i="2"/>
  <c r="C25" i="2"/>
  <c r="O71" i="2" l="1"/>
  <c r="O25" i="2"/>
  <c r="O62" i="2"/>
  <c r="N62" i="2"/>
  <c r="N61" i="2"/>
  <c r="M62" i="2"/>
  <c r="M61" i="2"/>
  <c r="L62" i="2"/>
  <c r="L61" i="2"/>
  <c r="K62" i="2"/>
  <c r="K61" i="2"/>
  <c r="J62" i="2"/>
  <c r="J61" i="2"/>
  <c r="I62" i="2"/>
  <c r="I61" i="2"/>
  <c r="H62" i="2"/>
  <c r="H61" i="2"/>
  <c r="G62" i="2"/>
  <c r="G61" i="2"/>
  <c r="F62" i="2"/>
  <c r="F61" i="2"/>
  <c r="E62" i="2"/>
  <c r="E61" i="2"/>
  <c r="D62" i="2"/>
  <c r="D61" i="2"/>
  <c r="C62" i="2"/>
  <c r="C61" i="2"/>
  <c r="O16" i="2"/>
  <c r="N16" i="2"/>
  <c r="N15" i="2"/>
  <c r="M16" i="2"/>
  <c r="M15" i="2"/>
  <c r="L16" i="2"/>
  <c r="L15" i="2"/>
  <c r="K16" i="2"/>
  <c r="K15" i="2"/>
  <c r="J16" i="2"/>
  <c r="J15" i="2"/>
  <c r="I16" i="2"/>
  <c r="I15" i="2"/>
  <c r="H16" i="2"/>
  <c r="H15" i="2"/>
  <c r="G16" i="2"/>
  <c r="G15" i="2"/>
  <c r="F16" i="2"/>
  <c r="F15" i="2"/>
  <c r="E16" i="2"/>
  <c r="E15" i="2"/>
  <c r="D16" i="2"/>
  <c r="D15" i="2"/>
  <c r="C16" i="2"/>
  <c r="C15" i="2"/>
  <c r="N60" i="2" l="1"/>
  <c r="N59" i="2"/>
  <c r="M60" i="2"/>
  <c r="M59" i="2"/>
  <c r="L60" i="2"/>
  <c r="L59" i="2"/>
  <c r="K60" i="2"/>
  <c r="K59" i="2"/>
  <c r="J60" i="2"/>
  <c r="J59" i="2"/>
  <c r="I60" i="2"/>
  <c r="I59" i="2"/>
  <c r="H60" i="2"/>
  <c r="H59" i="2"/>
  <c r="G60" i="2"/>
  <c r="G59" i="2"/>
  <c r="E60" i="2"/>
  <c r="E59" i="2"/>
  <c r="D60" i="2"/>
  <c r="D59" i="2"/>
  <c r="C60" i="2"/>
  <c r="C59" i="2"/>
  <c r="F59" i="2" l="1"/>
  <c r="F60" i="2" l="1"/>
  <c r="O60" i="2" l="1"/>
  <c r="N74" i="2" l="1"/>
  <c r="N73" i="2"/>
  <c r="M74" i="2"/>
  <c r="M73" i="2"/>
  <c r="L74" i="2"/>
  <c r="L73" i="2"/>
  <c r="K74" i="2"/>
  <c r="K73" i="2"/>
  <c r="J74" i="2"/>
  <c r="J73" i="2"/>
  <c r="I74" i="2"/>
  <c r="I73" i="2"/>
  <c r="H74" i="2"/>
  <c r="H73" i="2"/>
  <c r="G74" i="2"/>
  <c r="G73" i="2"/>
  <c r="F74" i="2"/>
  <c r="F73" i="2"/>
  <c r="E74" i="2"/>
  <c r="E73" i="2"/>
  <c r="D74" i="2"/>
  <c r="D73" i="2"/>
  <c r="C74" i="2"/>
  <c r="C73" i="2"/>
  <c r="N28" i="2"/>
  <c r="N27" i="2"/>
  <c r="M28" i="2"/>
  <c r="M27" i="2"/>
  <c r="L28" i="2"/>
  <c r="L27" i="2"/>
  <c r="K28" i="2"/>
  <c r="K27" i="2"/>
  <c r="J28" i="2"/>
  <c r="J27" i="2"/>
  <c r="I27" i="2"/>
  <c r="I28" i="2"/>
  <c r="H28" i="2"/>
  <c r="H27" i="2"/>
  <c r="G28" i="2"/>
  <c r="G27" i="2"/>
  <c r="F28" i="2"/>
  <c r="F27" i="2"/>
  <c r="E28" i="2"/>
  <c r="E27" i="2"/>
  <c r="D28" i="2"/>
  <c r="D27" i="2"/>
  <c r="C28" i="2"/>
  <c r="C27" i="2"/>
  <c r="O14" i="2" l="1"/>
  <c r="N14" i="2"/>
  <c r="N13" i="2"/>
  <c r="M14" i="2"/>
  <c r="M13" i="2"/>
  <c r="L14" i="2"/>
  <c r="L13" i="2"/>
  <c r="K14" i="2"/>
  <c r="K13" i="2"/>
  <c r="J14" i="2"/>
  <c r="J13" i="2"/>
  <c r="I14" i="2"/>
  <c r="I13" i="2"/>
  <c r="H14" i="2"/>
  <c r="H13" i="2"/>
  <c r="G14" i="2"/>
  <c r="G13" i="2"/>
  <c r="F14" i="2"/>
  <c r="F13" i="2"/>
  <c r="E14" i="2"/>
  <c r="E13" i="2"/>
  <c r="D14" i="2"/>
  <c r="D13" i="2"/>
  <c r="C14" i="2"/>
  <c r="C13" i="2"/>
  <c r="N58" i="2" l="1"/>
  <c r="N57" i="2"/>
  <c r="M58" i="2"/>
  <c r="M57" i="2"/>
  <c r="L58" i="2"/>
  <c r="L57" i="2"/>
  <c r="K58" i="2"/>
  <c r="K57" i="2"/>
  <c r="J58" i="2"/>
  <c r="J57" i="2"/>
  <c r="I58" i="2"/>
  <c r="I57" i="2"/>
  <c r="H58" i="2"/>
  <c r="H57" i="2"/>
  <c r="G58" i="2"/>
  <c r="G57" i="2"/>
  <c r="E58" i="2"/>
  <c r="E57" i="2"/>
  <c r="D58" i="2"/>
  <c r="D57" i="2"/>
  <c r="C58" i="2"/>
  <c r="C57" i="2"/>
  <c r="J12" i="2"/>
  <c r="J11" i="2"/>
  <c r="I12" i="2"/>
  <c r="I11" i="2"/>
  <c r="H12" i="2"/>
  <c r="H11" i="2"/>
  <c r="G12" i="2"/>
  <c r="G11" i="2"/>
  <c r="F12" i="2"/>
  <c r="F11" i="2"/>
  <c r="E12" i="2"/>
  <c r="E11" i="2"/>
  <c r="D12" i="2"/>
  <c r="D11" i="2"/>
  <c r="C12" i="2"/>
  <c r="C11" i="2"/>
  <c r="O12" i="2"/>
  <c r="F13" i="3" s="1"/>
  <c r="F57" i="2" l="1"/>
  <c r="F58" i="2" l="1"/>
  <c r="O6" i="2" l="1"/>
  <c r="F6" i="3" s="1"/>
  <c r="C14" i="3" l="1"/>
  <c r="F15" i="3"/>
  <c r="F14" i="3"/>
  <c r="F7" i="3"/>
  <c r="F4" i="3"/>
  <c r="F30" i="3"/>
  <c r="F28" i="3"/>
  <c r="F22" i="3"/>
  <c r="F27" i="3"/>
  <c r="O52" i="2"/>
  <c r="F24" i="3" s="1"/>
  <c r="C30" i="3" l="1"/>
  <c r="N52" i="2" l="1"/>
  <c r="N51" i="2"/>
  <c r="M52" i="2"/>
  <c r="M51" i="2"/>
  <c r="L52" i="2"/>
  <c r="L51" i="2"/>
  <c r="K52" i="2"/>
  <c r="K51" i="2"/>
  <c r="J52" i="2"/>
  <c r="J51" i="2"/>
  <c r="I52" i="2"/>
  <c r="I51" i="2"/>
  <c r="H52" i="2"/>
  <c r="H51" i="2"/>
  <c r="G52" i="2"/>
  <c r="G51" i="2"/>
  <c r="F52" i="2"/>
  <c r="F51" i="2"/>
  <c r="E52" i="2"/>
  <c r="E51" i="2"/>
  <c r="C52" i="2"/>
  <c r="C51" i="2"/>
  <c r="N6" i="2"/>
  <c r="N5" i="2"/>
  <c r="M6" i="2"/>
  <c r="M5" i="2"/>
  <c r="L6" i="2"/>
  <c r="L5" i="2"/>
  <c r="K6" i="2"/>
  <c r="K5" i="2"/>
  <c r="J6" i="2"/>
  <c r="J5" i="2"/>
  <c r="I6" i="2"/>
  <c r="I5" i="2"/>
  <c r="H6" i="2"/>
  <c r="H5" i="2"/>
  <c r="G6" i="2"/>
  <c r="G5" i="2"/>
  <c r="F6" i="2"/>
  <c r="F5" i="2"/>
  <c r="E6" i="2"/>
  <c r="E5" i="2"/>
  <c r="D5" i="2"/>
  <c r="C6" i="2"/>
  <c r="C5" i="2"/>
  <c r="D51" i="2" l="1"/>
  <c r="D52" i="2" l="1"/>
  <c r="D6" i="2"/>
  <c r="O70" i="2" l="1"/>
  <c r="N70" i="2"/>
  <c r="N69" i="2"/>
  <c r="M70" i="2"/>
  <c r="M69" i="2"/>
  <c r="L70" i="2"/>
  <c r="L69" i="2"/>
  <c r="K70" i="2"/>
  <c r="K69" i="2"/>
  <c r="J70" i="2"/>
  <c r="J69" i="2"/>
  <c r="I70" i="2"/>
  <c r="I69" i="2"/>
  <c r="H70" i="2"/>
  <c r="H69" i="2"/>
  <c r="G70" i="2"/>
  <c r="G69" i="2"/>
  <c r="F70" i="2"/>
  <c r="F69" i="2"/>
  <c r="E70" i="2"/>
  <c r="E69" i="2"/>
  <c r="D70" i="2"/>
  <c r="D69" i="2"/>
  <c r="C70" i="2"/>
  <c r="C69" i="2"/>
  <c r="O24" i="2"/>
  <c r="F9" i="3" s="1"/>
  <c r="O19" i="2"/>
  <c r="N24" i="2"/>
  <c r="N23" i="2"/>
  <c r="M24" i="2"/>
  <c r="M23" i="2"/>
  <c r="L24" i="2"/>
  <c r="L23" i="2"/>
  <c r="K24" i="2"/>
  <c r="K23" i="2"/>
  <c r="J24" i="2"/>
  <c r="J23" i="2"/>
  <c r="I24" i="2"/>
  <c r="I23" i="2"/>
  <c r="H24" i="2"/>
  <c r="H23" i="2"/>
  <c r="G24" i="2"/>
  <c r="G23" i="2"/>
  <c r="F24" i="2"/>
  <c r="F23" i="2"/>
  <c r="E24" i="2"/>
  <c r="E23" i="2"/>
  <c r="D24" i="2"/>
  <c r="D23" i="2"/>
  <c r="C24" i="2"/>
  <c r="C23" i="2"/>
  <c r="F33" i="3" l="1"/>
  <c r="F32" i="3"/>
  <c r="N56" i="2"/>
  <c r="N55" i="2"/>
  <c r="M56" i="2"/>
  <c r="M55" i="2"/>
  <c r="L56" i="2"/>
  <c r="L55" i="2"/>
  <c r="K56" i="2"/>
  <c r="K55" i="2"/>
  <c r="J56" i="2"/>
  <c r="J55" i="2"/>
  <c r="I56" i="2"/>
  <c r="I55" i="2"/>
  <c r="H56" i="2"/>
  <c r="H55" i="2"/>
  <c r="G56" i="2"/>
  <c r="G55" i="2"/>
  <c r="F56" i="2"/>
  <c r="F55" i="2"/>
  <c r="E56" i="2"/>
  <c r="E55" i="2"/>
  <c r="D56" i="2"/>
  <c r="D55" i="2"/>
  <c r="O10" i="2"/>
  <c r="F12" i="3" s="1"/>
  <c r="N10" i="2"/>
  <c r="N9" i="2"/>
  <c r="M10" i="2"/>
  <c r="M9" i="2"/>
  <c r="L10" i="2"/>
  <c r="L9" i="2"/>
  <c r="K10" i="2"/>
  <c r="K9" i="2"/>
  <c r="J10" i="2"/>
  <c r="J9" i="2"/>
  <c r="I10" i="2"/>
  <c r="I9" i="2"/>
  <c r="H10" i="2"/>
  <c r="H9" i="2"/>
  <c r="G10" i="2"/>
  <c r="G9" i="2"/>
  <c r="F10" i="2"/>
  <c r="F9" i="2"/>
  <c r="E10" i="2"/>
  <c r="E9" i="2"/>
  <c r="D10" i="2"/>
  <c r="D9" i="2"/>
  <c r="C10" i="2"/>
  <c r="C9" i="2"/>
  <c r="C55" i="2" l="1"/>
  <c r="C56" i="2" l="1"/>
  <c r="O56" i="2" l="1"/>
  <c r="F26" i="3" s="1"/>
  <c r="O50" i="2" l="1"/>
  <c r="F25" i="3" s="1"/>
  <c r="N50" i="2"/>
  <c r="N49" i="2"/>
  <c r="M50" i="2"/>
  <c r="M49" i="2"/>
  <c r="L50" i="2"/>
  <c r="L49" i="2"/>
  <c r="K50" i="2"/>
  <c r="K49" i="2"/>
  <c r="J50" i="2"/>
  <c r="J49" i="2"/>
  <c r="I50" i="2"/>
  <c r="I49" i="2"/>
  <c r="H50" i="2"/>
  <c r="H49" i="2"/>
  <c r="G50" i="2"/>
  <c r="G49" i="2"/>
  <c r="F50" i="2"/>
  <c r="F49" i="2"/>
  <c r="E50" i="2"/>
  <c r="E49" i="2"/>
  <c r="D50" i="2"/>
  <c r="D49" i="2"/>
  <c r="C50" i="2"/>
  <c r="C49" i="2"/>
  <c r="O4" i="2"/>
  <c r="F11" i="3" s="1"/>
  <c r="N4" i="2"/>
  <c r="N3" i="2"/>
  <c r="M4" i="2"/>
  <c r="M3" i="2"/>
  <c r="L4" i="2"/>
  <c r="L3" i="2"/>
  <c r="K4" i="2"/>
  <c r="K3" i="2"/>
  <c r="J4" i="2"/>
  <c r="J3" i="2"/>
  <c r="I4" i="2"/>
  <c r="I3" i="2"/>
  <c r="H4" i="2"/>
  <c r="H3" i="2"/>
  <c r="G4" i="2"/>
  <c r="G3" i="2"/>
  <c r="F4" i="2"/>
  <c r="F3" i="2"/>
  <c r="E4" i="2"/>
  <c r="E3" i="2"/>
  <c r="D4" i="2"/>
  <c r="D3" i="2"/>
  <c r="C4" i="2"/>
  <c r="C3" i="2"/>
  <c r="O49" i="2" l="1"/>
  <c r="O22" i="2"/>
  <c r="F8" i="3" s="1"/>
  <c r="O68" i="2"/>
  <c r="F31" i="3" s="1"/>
  <c r="C25" i="3" l="1"/>
  <c r="O54" i="2"/>
  <c r="F23" i="3" s="1"/>
  <c r="O8" i="2"/>
  <c r="F5" i="3" s="1"/>
  <c r="O21" i="2" l="1"/>
  <c r="C8" i="3" s="1"/>
  <c r="O67" i="2"/>
  <c r="C31" i="3" s="1"/>
  <c r="N68" i="2"/>
  <c r="N67" i="2"/>
  <c r="M68" i="2"/>
  <c r="M67" i="2"/>
  <c r="L68" i="2"/>
  <c r="L67" i="2"/>
  <c r="K68" i="2"/>
  <c r="K67" i="2"/>
  <c r="J68" i="2"/>
  <c r="J67" i="2"/>
  <c r="I68" i="2"/>
  <c r="I67" i="2"/>
  <c r="H68" i="2"/>
  <c r="H67" i="2"/>
  <c r="G68" i="2"/>
  <c r="G67" i="2"/>
  <c r="F68" i="2"/>
  <c r="F67" i="2"/>
  <c r="E68" i="2"/>
  <c r="E67" i="2"/>
  <c r="D68" i="2"/>
  <c r="D67" i="2"/>
  <c r="C68" i="2"/>
  <c r="C67" i="2"/>
  <c r="N22" i="2"/>
  <c r="N21" i="2"/>
  <c r="M22" i="2"/>
  <c r="M21" i="2"/>
  <c r="L22" i="2"/>
  <c r="L21" i="2"/>
  <c r="K22" i="2"/>
  <c r="K21" i="2"/>
  <c r="J22" i="2"/>
  <c r="J21" i="2"/>
  <c r="I22" i="2"/>
  <c r="I21" i="2"/>
  <c r="H22" i="2"/>
  <c r="H21" i="2"/>
  <c r="G22" i="2"/>
  <c r="G21" i="2"/>
  <c r="F22" i="2"/>
  <c r="F21" i="2"/>
  <c r="E22" i="2"/>
  <c r="E21" i="2"/>
  <c r="D22" i="2"/>
  <c r="D21" i="2"/>
  <c r="C22" i="2"/>
  <c r="C21" i="2"/>
  <c r="O73" i="2" l="1"/>
  <c r="C33" i="3" l="1"/>
  <c r="C64" i="2"/>
  <c r="C18" i="2"/>
  <c r="AA36" i="3"/>
  <c r="Z36" i="3"/>
  <c r="Y36" i="3"/>
  <c r="X36" i="3"/>
  <c r="W36" i="3"/>
  <c r="V36" i="3"/>
  <c r="U36" i="3"/>
  <c r="T36" i="3"/>
  <c r="S36" i="3"/>
  <c r="R36" i="3"/>
  <c r="Q36" i="3"/>
  <c r="P36" i="3"/>
  <c r="AA35" i="3"/>
  <c r="Z35" i="3"/>
  <c r="Y35" i="3"/>
  <c r="X35" i="3"/>
  <c r="W35" i="3"/>
  <c r="V35" i="3"/>
  <c r="U35" i="3"/>
  <c r="T35" i="3"/>
  <c r="S35" i="3"/>
  <c r="R35" i="3"/>
  <c r="Q35" i="3"/>
  <c r="P35" i="3"/>
  <c r="E34" i="3"/>
  <c r="D34" i="3"/>
  <c r="AA32" i="3"/>
  <c r="Z32" i="3"/>
  <c r="Y32" i="3"/>
  <c r="X32" i="3"/>
  <c r="W32" i="3"/>
  <c r="V32" i="3"/>
  <c r="U32" i="3"/>
  <c r="T32" i="3"/>
  <c r="S32" i="3"/>
  <c r="R32" i="3"/>
  <c r="Q32" i="3"/>
  <c r="P32" i="3"/>
  <c r="AA31" i="3"/>
  <c r="Z31" i="3"/>
  <c r="Y31" i="3"/>
  <c r="X31" i="3"/>
  <c r="W31" i="3"/>
  <c r="V31" i="3"/>
  <c r="U31" i="3"/>
  <c r="T31" i="3"/>
  <c r="S31" i="3"/>
  <c r="R31" i="3"/>
  <c r="Q31" i="3"/>
  <c r="P31" i="3"/>
  <c r="E16" i="3"/>
  <c r="D16" i="3"/>
  <c r="AA9" i="3"/>
  <c r="Z9" i="3"/>
  <c r="Y9" i="3"/>
  <c r="X9" i="3"/>
  <c r="W9" i="3"/>
  <c r="V9" i="3"/>
  <c r="U9" i="3"/>
  <c r="T9" i="3"/>
  <c r="S9" i="3"/>
  <c r="R9" i="3"/>
  <c r="Q9" i="3"/>
  <c r="P9" i="3"/>
  <c r="AA8" i="3"/>
  <c r="Z8" i="3"/>
  <c r="Y8" i="3"/>
  <c r="X8" i="3"/>
  <c r="W8" i="3"/>
  <c r="V8" i="3"/>
  <c r="U8" i="3"/>
  <c r="T8" i="3"/>
  <c r="S8" i="3"/>
  <c r="R8" i="3"/>
  <c r="Q8" i="3"/>
  <c r="P8" i="3"/>
  <c r="AA5" i="3"/>
  <c r="Z5" i="3"/>
  <c r="Y5" i="3"/>
  <c r="X5" i="3"/>
  <c r="W5" i="3"/>
  <c r="V5" i="3"/>
  <c r="U5" i="3"/>
  <c r="T5" i="3"/>
  <c r="S5" i="3"/>
  <c r="R5" i="3"/>
  <c r="Q5" i="3"/>
  <c r="P5" i="3"/>
  <c r="AA4" i="3"/>
  <c r="Z4" i="3"/>
  <c r="Y4" i="3"/>
  <c r="X4" i="3"/>
  <c r="W4" i="3"/>
  <c r="V4" i="3"/>
  <c r="U4" i="3"/>
  <c r="T4" i="3"/>
  <c r="S4" i="3"/>
  <c r="R4" i="3"/>
  <c r="Q4" i="3"/>
  <c r="P4" i="3"/>
  <c r="O69" i="2"/>
  <c r="C32" i="3" s="1"/>
  <c r="N64" i="2"/>
  <c r="M64" i="2"/>
  <c r="L64" i="2"/>
  <c r="K64" i="2"/>
  <c r="J64" i="2"/>
  <c r="I64" i="2"/>
  <c r="H64" i="2"/>
  <c r="G64" i="2"/>
  <c r="F64" i="2"/>
  <c r="E64" i="2"/>
  <c r="D64" i="2"/>
  <c r="N63" i="2"/>
  <c r="M63" i="2"/>
  <c r="L63" i="2"/>
  <c r="K63" i="2"/>
  <c r="J63" i="2"/>
  <c r="I63" i="2"/>
  <c r="H63" i="2"/>
  <c r="G63" i="2"/>
  <c r="F63" i="2"/>
  <c r="E63" i="2"/>
  <c r="D63" i="2"/>
  <c r="C63" i="2"/>
  <c r="A63" i="2"/>
  <c r="O61" i="2"/>
  <c r="C28" i="3" s="1"/>
  <c r="A61" i="2"/>
  <c r="O59" i="2"/>
  <c r="C22" i="3" s="1"/>
  <c r="A59" i="2"/>
  <c r="O57" i="2"/>
  <c r="C27" i="3" s="1"/>
  <c r="A57" i="2"/>
  <c r="O55" i="2"/>
  <c r="C26" i="3" s="1"/>
  <c r="A55" i="2"/>
  <c r="N54" i="2"/>
  <c r="AA33" i="3" s="1"/>
  <c r="M54" i="2"/>
  <c r="Z33" i="3" s="1"/>
  <c r="L54" i="2"/>
  <c r="Y33" i="3" s="1"/>
  <c r="K54" i="2"/>
  <c r="X33" i="3" s="1"/>
  <c r="J54" i="2"/>
  <c r="W33" i="3" s="1"/>
  <c r="I54" i="2"/>
  <c r="V33" i="3" s="1"/>
  <c r="H54" i="2"/>
  <c r="U33" i="3" s="1"/>
  <c r="G54" i="2"/>
  <c r="T33" i="3" s="1"/>
  <c r="F54" i="2"/>
  <c r="S33" i="3" s="1"/>
  <c r="E54" i="2"/>
  <c r="R33" i="3" s="1"/>
  <c r="D54" i="2"/>
  <c r="Q33" i="3" s="1"/>
  <c r="C54" i="2"/>
  <c r="P33" i="3" s="1"/>
  <c r="N53" i="2"/>
  <c r="M53" i="2"/>
  <c r="L53" i="2"/>
  <c r="K53" i="2"/>
  <c r="J53" i="2"/>
  <c r="I53" i="2"/>
  <c r="H53" i="2"/>
  <c r="G53" i="2"/>
  <c r="F53" i="2"/>
  <c r="E53" i="2"/>
  <c r="D53" i="2"/>
  <c r="C53" i="2"/>
  <c r="A53" i="2"/>
  <c r="O51" i="2"/>
  <c r="C24" i="3" s="1"/>
  <c r="A51" i="2"/>
  <c r="AA34" i="3"/>
  <c r="Z34" i="3"/>
  <c r="Y34" i="3"/>
  <c r="X34" i="3"/>
  <c r="W34" i="3"/>
  <c r="V34" i="3"/>
  <c r="U34" i="3"/>
  <c r="T34" i="3"/>
  <c r="S34" i="3"/>
  <c r="R34" i="3"/>
  <c r="Q34" i="3"/>
  <c r="P34" i="3"/>
  <c r="A49" i="2"/>
  <c r="O27" i="2"/>
  <c r="C15" i="3" s="1"/>
  <c r="O23" i="2"/>
  <c r="C9" i="3" s="1"/>
  <c r="O18" i="2"/>
  <c r="F10" i="3" s="1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C17" i="2"/>
  <c r="O15" i="2"/>
  <c r="C7" i="3" s="1"/>
  <c r="O13" i="2"/>
  <c r="C4" i="3" s="1"/>
  <c r="O11" i="2"/>
  <c r="C13" i="3" s="1"/>
  <c r="O9" i="2"/>
  <c r="C12" i="3" s="1"/>
  <c r="N8" i="2"/>
  <c r="AA6" i="3" s="1"/>
  <c r="M8" i="2"/>
  <c r="Z6" i="3" s="1"/>
  <c r="L8" i="2"/>
  <c r="Y6" i="3" s="1"/>
  <c r="K8" i="2"/>
  <c r="X6" i="3" s="1"/>
  <c r="J8" i="2"/>
  <c r="W6" i="3" s="1"/>
  <c r="I8" i="2"/>
  <c r="V6" i="3" s="1"/>
  <c r="H8" i="2"/>
  <c r="U6" i="3" s="1"/>
  <c r="G8" i="2"/>
  <c r="T6" i="3" s="1"/>
  <c r="F8" i="2"/>
  <c r="S6" i="3" s="1"/>
  <c r="E8" i="2"/>
  <c r="R6" i="3" s="1"/>
  <c r="D8" i="2"/>
  <c r="Q6" i="3" s="1"/>
  <c r="C8" i="2"/>
  <c r="P6" i="3" s="1"/>
  <c r="N7" i="2"/>
  <c r="M7" i="2"/>
  <c r="L7" i="2"/>
  <c r="K7" i="2"/>
  <c r="J7" i="2"/>
  <c r="I7" i="2"/>
  <c r="H7" i="2"/>
  <c r="G7" i="2"/>
  <c r="F7" i="2"/>
  <c r="E7" i="2"/>
  <c r="D7" i="2"/>
  <c r="C7" i="2"/>
  <c r="O5" i="2"/>
  <c r="C6" i="3" s="1"/>
  <c r="AA7" i="3"/>
  <c r="Z7" i="3"/>
  <c r="Y7" i="3"/>
  <c r="X7" i="3"/>
  <c r="W7" i="3"/>
  <c r="V7" i="3"/>
  <c r="U7" i="3"/>
  <c r="T7" i="3"/>
  <c r="S7" i="3"/>
  <c r="R7" i="3"/>
  <c r="Q7" i="3"/>
  <c r="P7" i="3"/>
  <c r="Y88" i="1"/>
  <c r="Y87" i="1"/>
  <c r="Y86" i="1"/>
  <c r="Y85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D83" i="1"/>
  <c r="C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3" i="1"/>
  <c r="H3" i="1"/>
  <c r="F3" i="1"/>
  <c r="D3" i="1"/>
  <c r="O3" i="2" l="1"/>
  <c r="C11" i="3" s="1"/>
  <c r="F16" i="3"/>
  <c r="O7" i="2"/>
  <c r="C5" i="3" s="1"/>
  <c r="O53" i="2"/>
  <c r="C23" i="3" s="1"/>
  <c r="O63" i="2"/>
  <c r="C29" i="3" s="1"/>
  <c r="F34" i="3"/>
  <c r="O17" i="2"/>
  <c r="C10" i="3" s="1"/>
  <c r="O64" i="2"/>
  <c r="F29" i="3" s="1"/>
  <c r="R50" i="2" l="1"/>
  <c r="R52" i="2" s="1"/>
  <c r="C16" i="3"/>
  <c r="C34" i="3"/>
</calcChain>
</file>

<file path=xl/sharedStrings.xml><?xml version="1.0" encoding="utf-8"?>
<sst xmlns="http://schemas.openxmlformats.org/spreadsheetml/2006/main" count="213" uniqueCount="102">
  <si>
    <t>불합격:</t>
  </si>
  <si>
    <t>검사수:</t>
  </si>
  <si>
    <t>불량수:</t>
  </si>
  <si>
    <t>불량%:</t>
  </si>
  <si>
    <t>No.</t>
  </si>
  <si>
    <t>일자</t>
  </si>
  <si>
    <t>업체 명</t>
  </si>
  <si>
    <t xml:space="preserve">적용 
Model </t>
  </si>
  <si>
    <t>규격</t>
  </si>
  <si>
    <t>LOT 수</t>
  </si>
  <si>
    <t>입고
수량</t>
  </si>
  <si>
    <t>불량 LOT 수</t>
  </si>
  <si>
    <t>검사 LOT 수</t>
  </si>
  <si>
    <t>불량율(%)</t>
  </si>
  <si>
    <t>불량 유형</t>
  </si>
  <si>
    <t>검사자</t>
  </si>
  <si>
    <t>판정</t>
  </si>
  <si>
    <t>비고(처리)</t>
  </si>
  <si>
    <t>Pinion
SPEC</t>
  </si>
  <si>
    <t>나사산</t>
  </si>
  <si>
    <t>Pitch</t>
  </si>
  <si>
    <t>탭</t>
  </si>
  <si>
    <t>O.C</t>
  </si>
  <si>
    <t>Dirty</t>
  </si>
  <si>
    <t>변색</t>
  </si>
  <si>
    <t>소음</t>
  </si>
  <si>
    <t>찍힘</t>
  </si>
  <si>
    <t>S/C</t>
  </si>
  <si>
    <t>이물</t>
  </si>
  <si>
    <t>기타</t>
  </si>
  <si>
    <t>메탈 팩토리</t>
  </si>
  <si>
    <t>Linear servo</t>
  </si>
  <si>
    <t>선삭 lead screw 외</t>
  </si>
  <si>
    <t>AC</t>
  </si>
  <si>
    <t>미래 ENG</t>
  </si>
  <si>
    <t>Hinge, Hinge base</t>
  </si>
  <si>
    <t>JMT</t>
  </si>
  <si>
    <t>Accessory</t>
  </si>
  <si>
    <t>Lead screw 45mm 1줄 외</t>
  </si>
  <si>
    <t>합격 lot</t>
  </si>
  <si>
    <t>Connector wire IR-1119521</t>
  </si>
  <si>
    <t>PT Top Case외 1종</t>
  </si>
  <si>
    <t>Output Gear외 1종</t>
  </si>
  <si>
    <t>Gear box top 외 8종</t>
  </si>
  <si>
    <t>인청동 Insert 외 1종</t>
  </si>
  <si>
    <t>이구스 Insert 60mm외 2종</t>
  </si>
  <si>
    <t>Output Gear외 2종</t>
  </si>
  <si>
    <t>합격</t>
  </si>
  <si>
    <t>불합격</t>
  </si>
  <si>
    <t>불합격율</t>
  </si>
  <si>
    <t>업체 별 불량 [%]</t>
  </si>
  <si>
    <t>항목</t>
  </si>
  <si>
    <t>합계</t>
  </si>
  <si>
    <t>CNB</t>
  </si>
  <si>
    <t>입고수</t>
  </si>
  <si>
    <t>불량 %</t>
  </si>
  <si>
    <t>전진로링</t>
  </si>
  <si>
    <t>시대전자</t>
  </si>
  <si>
    <t>일흥테크</t>
  </si>
  <si>
    <t>시너지테크</t>
  </si>
  <si>
    <t>갑텍</t>
  </si>
  <si>
    <t>태광시스템</t>
  </si>
  <si>
    <t>신형 NUT</t>
  </si>
  <si>
    <t>목표</t>
  </si>
  <si>
    <t>업체 별 Reject Rate [%]</t>
  </si>
  <si>
    <t>업체명</t>
  </si>
  <si>
    <t>Lot 수[건]</t>
  </si>
  <si>
    <t>불합격[%]</t>
  </si>
  <si>
    <t>#불량%</t>
  </si>
  <si>
    <t>월 별 불량 률[%]</t>
  </si>
  <si>
    <t>납품수량</t>
  </si>
  <si>
    <t>검사 수</t>
  </si>
  <si>
    <t>불량 수</t>
  </si>
  <si>
    <t>메탈팩토리</t>
  </si>
  <si>
    <t>대신 플라텍</t>
  </si>
  <si>
    <t>유니프로</t>
  </si>
  <si>
    <t>아름정밀</t>
  </si>
  <si>
    <t>#불합격%</t>
  </si>
  <si>
    <t>Lot 수</t>
  </si>
  <si>
    <t>불합격 수</t>
  </si>
  <si>
    <t>RE Rate[%]</t>
  </si>
  <si>
    <t>월 별 Reject Rate[%]</t>
  </si>
  <si>
    <t>대신 프라텍</t>
  </si>
  <si>
    <t>천호금속</t>
    <phoneticPr fontId="24" type="noConversion"/>
  </si>
  <si>
    <t>유니프로</t>
    <phoneticPr fontId="24" type="noConversion"/>
  </si>
  <si>
    <t>CNB</t>
    <phoneticPr fontId="24" type="noConversion"/>
  </si>
  <si>
    <t>미래 ENG</t>
    <phoneticPr fontId="24" type="noConversion"/>
  </si>
  <si>
    <t>메탈 팩토리</t>
    <phoneticPr fontId="24" type="noConversion"/>
  </si>
  <si>
    <t>전진로링</t>
    <phoneticPr fontId="24" type="noConversion"/>
  </si>
  <si>
    <t>시대전자</t>
    <phoneticPr fontId="24" type="noConversion"/>
  </si>
  <si>
    <t>일흥테크</t>
    <phoneticPr fontId="24" type="noConversion"/>
  </si>
  <si>
    <t>시너지테크</t>
    <phoneticPr fontId="24" type="noConversion"/>
  </si>
  <si>
    <t>천호금속</t>
    <phoneticPr fontId="24" type="noConversion"/>
  </si>
  <si>
    <t>태광시스템</t>
    <phoneticPr fontId="24" type="noConversion"/>
  </si>
  <si>
    <t>유니프로</t>
    <phoneticPr fontId="24" type="noConversion"/>
  </si>
  <si>
    <t>JMT</t>
    <phoneticPr fontId="24" type="noConversion"/>
  </si>
  <si>
    <t>신형 NUT</t>
    <phoneticPr fontId="24" type="noConversion"/>
  </si>
  <si>
    <t>갑텍</t>
    <phoneticPr fontId="24" type="noConversion"/>
  </si>
  <si>
    <t>갑텍</t>
    <phoneticPr fontId="24" type="noConversion"/>
  </si>
  <si>
    <t>Lot 수</t>
    <phoneticPr fontId="24" type="noConversion"/>
  </si>
  <si>
    <t>불합격 수</t>
    <phoneticPr fontId="24" type="noConversion"/>
  </si>
  <si>
    <t>불합격 %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</si>
</sst>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1" formatCode="_-* #,##0_-;\-* #,##0_-;_-* &quot;-&quot;_-;_-@_-"/>
    <numFmt numFmtId="176" formatCode="\$#,##0.00;&quot;($-&quot;#,##0.00\)"/>
    <numFmt numFmtId="177" formatCode="#,##0.0_);\(#,##0.0\)"/>
    <numFmt numFmtId="178" formatCode="_(* #,##0.0000_);_(* \(#,##0.0000\);_(* \-??_);_(@_)"/>
    <numFmt numFmtId="179" formatCode="0.0%;[Red]\(0.0%\)"/>
    <numFmt numFmtId="180" formatCode="&quot;&quot;?#,##0.00&quot;;[RED]\-?#,##0.00&quot;"/>
    <numFmt numFmtId="181" formatCode="_(\$* #,##0.00_);_(\$* \(#,##0.00\);_(\$* \-??_);_(@_)"/>
    <numFmt numFmtId="182" formatCode="0.0%;\(0.0%\)"/>
    <numFmt numFmtId="183" formatCode="\$#,##0"/>
    <numFmt numFmtId="184" formatCode="yyyy\-mm\-dd"/>
    <numFmt numFmtId="185" formatCode="&quot;S &quot;#,##0;[Red]&quot;-S &quot;#,##0"/>
    <numFmt numFmtId="186" formatCode="&quot;S &quot;#,##0.00;&quot;-S &quot;#,##0.00"/>
    <numFmt numFmtId="187" formatCode="_-* #,##0_-;\-* #,##0_-;_-* \-_-;_-@_-"/>
    <numFmt numFmtId="188" formatCode="_-* #,##0.00_-;\-* #,##0.00_-;_-* \-??_-;_-@_-"/>
    <numFmt numFmtId="189" formatCode="0_);[Red]\(0\)"/>
    <numFmt numFmtId="190" formatCode="#,##0_);[Red]\(#,##0\)"/>
    <numFmt numFmtId="191" formatCode="m\/d;@"/>
    <numFmt numFmtId="192" formatCode="0.00_ "/>
    <numFmt numFmtId="193" formatCode="#,##0_ "/>
    <numFmt numFmtId="194" formatCode="#,##0.00_ "/>
    <numFmt numFmtId="195" formatCode="0.00_);[Red]\(0.00\)"/>
    <numFmt numFmtId="196" formatCode="0.0_ "/>
    <numFmt numFmtId="197" formatCode="0.0"/>
  </numFmts>
  <fonts count="25">
    <font>
      <sz val="11"/>
      <color theme="1"/>
      <name val="맑은 고딕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name val="Arial"/>
      <family val="2"/>
      <charset val="1"/>
    </font>
    <font>
      <sz val="11"/>
      <name val="Times New Roman"/>
      <family val="1"/>
      <charset val="1"/>
    </font>
    <font>
      <b/>
      <sz val="10"/>
      <name val="Arial"/>
      <family val="2"/>
      <charset val="1"/>
    </font>
    <font>
      <sz val="11"/>
      <name val="굴림체"/>
      <family val="3"/>
      <charset val="129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1"/>
      <color theme="1"/>
      <name val="맑은 고딕"/>
      <family val="2"/>
      <charset val="129"/>
    </font>
    <font>
      <sz val="10"/>
      <name val="굴림체"/>
      <family val="3"/>
      <charset val="129"/>
    </font>
    <font>
      <sz val="9"/>
      <name val="맑은 고딕"/>
      <family val="3"/>
      <charset val="129"/>
    </font>
    <font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name val="HY견명조"/>
      <family val="1"/>
      <charset val="129"/>
    </font>
    <font>
      <b/>
      <u/>
      <sz val="11"/>
      <name val="맑은 고딕"/>
      <family val="3"/>
      <charset val="129"/>
    </font>
    <font>
      <sz val="9"/>
      <name val="HY견명조"/>
      <family val="1"/>
      <charset val="129"/>
    </font>
    <font>
      <b/>
      <sz val="9"/>
      <name val="맑은 고딕"/>
      <family val="3"/>
      <charset val="129"/>
    </font>
    <font>
      <b/>
      <sz val="9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FFFF99"/>
        <bgColor rgb="FFCCFFCC"/>
      </patternFill>
    </fill>
    <fill>
      <patternFill patternType="solid">
        <fgColor theme="3" tint="0.59987182226020086"/>
        <bgColor rgb="FF8CBFD2"/>
      </patternFill>
    </fill>
    <fill>
      <patternFill patternType="solid">
        <fgColor theme="3" tint="0.79989013336588644"/>
        <bgColor rgb="FFF2DCDB"/>
      </patternFill>
    </fill>
    <fill>
      <patternFill patternType="solid">
        <fgColor theme="3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63">
    <xf numFmtId="0" fontId="0" fillId="0" borderId="0">
      <alignment vertical="center"/>
    </xf>
    <xf numFmtId="0" fontId="1" fillId="0" borderId="0"/>
    <xf numFmtId="0" fontId="1" fillId="0" borderId="0"/>
    <xf numFmtId="176" fontId="2" fillId="0" borderId="0" applyBorder="0">
      <alignment vertical="center"/>
    </xf>
    <xf numFmtId="177" fontId="3" fillId="0" borderId="0" applyBorder="0">
      <alignment vertical="center"/>
    </xf>
    <xf numFmtId="178" fontId="3" fillId="0" borderId="0" applyBorder="0">
      <alignment vertical="center"/>
    </xf>
    <xf numFmtId="179" fontId="3" fillId="0" borderId="0" applyBorder="0">
      <alignment vertical="center"/>
    </xf>
    <xf numFmtId="180" fontId="4" fillId="0" borderId="0" applyBorder="0">
      <alignment vertical="center"/>
    </xf>
    <xf numFmtId="181" fontId="3" fillId="0" borderId="0" applyBorder="0">
      <alignment vertical="center"/>
    </xf>
    <xf numFmtId="182" fontId="3" fillId="0" borderId="0" applyBorder="0">
      <alignment vertical="center"/>
    </xf>
    <xf numFmtId="177" fontId="3" fillId="0" borderId="0" applyBorder="0">
      <alignment vertical="center"/>
    </xf>
    <xf numFmtId="0" fontId="5" fillId="0" borderId="0"/>
    <xf numFmtId="181" fontId="6" fillId="0" borderId="0" applyBorder="0" applyProtection="0">
      <alignment vertical="center"/>
    </xf>
    <xf numFmtId="0" fontId="6" fillId="0" borderId="0" applyBorder="0" applyProtection="0">
      <alignment vertical="center"/>
    </xf>
    <xf numFmtId="183" fontId="6" fillId="0" borderId="0" applyBorder="0" applyProtection="0">
      <alignment vertical="center"/>
    </xf>
    <xf numFmtId="177" fontId="6" fillId="0" borderId="0" applyBorder="0" applyProtection="0">
      <alignment vertical="center"/>
    </xf>
    <xf numFmtId="0" fontId="6" fillId="0" borderId="0" applyBorder="0" applyProtection="0">
      <alignment vertical="center"/>
    </xf>
    <xf numFmtId="182" fontId="6" fillId="0" borderId="0" applyBorder="0" applyProtection="0">
      <alignment vertical="center"/>
    </xf>
    <xf numFmtId="184" fontId="7" fillId="0" borderId="0" applyBorder="0">
      <alignment vertical="center"/>
    </xf>
    <xf numFmtId="181" fontId="3" fillId="0" borderId="0" applyBorder="0">
      <alignment vertical="center"/>
    </xf>
    <xf numFmtId="177" fontId="3" fillId="0" borderId="0" applyBorder="0">
      <alignment vertical="center"/>
    </xf>
    <xf numFmtId="181" fontId="3" fillId="0" borderId="0" applyBorder="0">
      <alignment vertical="center"/>
    </xf>
    <xf numFmtId="182" fontId="3" fillId="0" borderId="0" applyBorder="0">
      <alignment vertical="center"/>
    </xf>
    <xf numFmtId="177" fontId="3" fillId="0" borderId="0" applyBorder="0">
      <alignment vertical="center"/>
    </xf>
    <xf numFmtId="0" fontId="8" fillId="2" borderId="0" applyBorder="0" applyProtection="0">
      <alignment vertical="center"/>
    </xf>
    <xf numFmtId="0" fontId="9" fillId="0" borderId="0">
      <alignment horizontal="left"/>
    </xf>
    <xf numFmtId="0" fontId="9" fillId="0" borderId="1" applyProtection="0">
      <alignment vertical="center"/>
    </xf>
    <xf numFmtId="0" fontId="9" fillId="0" borderId="2">
      <alignment horizontal="left" vertical="center"/>
    </xf>
    <xf numFmtId="0" fontId="8" fillId="2" borderId="0" applyBorder="0" applyProtection="0">
      <alignment vertical="center"/>
    </xf>
    <xf numFmtId="181" fontId="3" fillId="0" borderId="0" applyBorder="0">
      <alignment vertical="center"/>
    </xf>
    <xf numFmtId="177" fontId="3" fillId="0" borderId="0" applyBorder="0">
      <alignment vertical="center"/>
    </xf>
    <xf numFmtId="181" fontId="3" fillId="0" borderId="0" applyBorder="0">
      <alignment vertical="center"/>
    </xf>
    <xf numFmtId="182" fontId="3" fillId="0" borderId="0" applyBorder="0">
      <alignment vertical="center"/>
    </xf>
    <xf numFmtId="177" fontId="3" fillId="0" borderId="0" applyBorder="0">
      <alignment vertical="center"/>
    </xf>
    <xf numFmtId="0" fontId="10" fillId="0" borderId="3"/>
    <xf numFmtId="0" fontId="1" fillId="0" borderId="0"/>
    <xf numFmtId="0" fontId="3" fillId="0" borderId="0"/>
    <xf numFmtId="183" fontId="6" fillId="0" borderId="0" applyBorder="0" applyProtection="0">
      <alignment vertical="center"/>
    </xf>
    <xf numFmtId="180" fontId="6" fillId="0" borderId="0" applyBorder="0" applyProtection="0">
      <alignment vertical="center"/>
    </xf>
    <xf numFmtId="10" fontId="23" fillId="0" borderId="0" applyBorder="0" applyProtection="0">
      <alignment vertical="center"/>
    </xf>
    <xf numFmtId="185" fontId="6" fillId="0" borderId="0" applyBorder="0" applyProtection="0">
      <alignment vertical="center"/>
    </xf>
    <xf numFmtId="181" fontId="3" fillId="0" borderId="0" applyBorder="0">
      <alignment vertical="center"/>
    </xf>
    <xf numFmtId="177" fontId="3" fillId="0" borderId="0" applyBorder="0">
      <alignment vertical="center"/>
    </xf>
    <xf numFmtId="181" fontId="3" fillId="0" borderId="0" applyBorder="0">
      <alignment vertical="center"/>
    </xf>
    <xf numFmtId="182" fontId="3" fillId="0" borderId="0" applyBorder="0">
      <alignment vertical="center"/>
    </xf>
    <xf numFmtId="177" fontId="3" fillId="0" borderId="0" applyBorder="0">
      <alignment vertical="center"/>
    </xf>
    <xf numFmtId="0" fontId="10" fillId="0" borderId="0"/>
    <xf numFmtId="49" fontId="7" fillId="0" borderId="0" applyBorder="0">
      <alignment vertical="center"/>
    </xf>
    <xf numFmtId="185" fontId="4" fillId="0" borderId="0" applyBorder="0">
      <alignment vertical="center"/>
    </xf>
    <xf numFmtId="186" fontId="4" fillId="0" borderId="0" applyBorder="0">
      <alignment vertical="center"/>
    </xf>
    <xf numFmtId="9" fontId="23" fillId="0" borderId="0" applyBorder="0" applyProtection="0">
      <alignment vertical="center"/>
    </xf>
    <xf numFmtId="9" fontId="23" fillId="0" borderId="0" applyBorder="0" applyProtection="0">
      <alignment vertical="center"/>
    </xf>
    <xf numFmtId="187" fontId="23" fillId="0" borderId="0" applyBorder="0" applyProtection="0">
      <alignment vertical="center"/>
    </xf>
    <xf numFmtId="187" fontId="6" fillId="0" borderId="0" applyBorder="0" applyProtection="0">
      <alignment vertical="center"/>
    </xf>
    <xf numFmtId="188" fontId="6" fillId="0" borderId="0" applyBorder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3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187" fontId="23" fillId="0" borderId="0" applyBorder="0" applyProtection="0">
      <alignment vertical="center"/>
    </xf>
    <xf numFmtId="41" fontId="23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3" fillId="0" borderId="0" xfId="0" applyFont="1" applyAlignment="1">
      <alignment vertical="center"/>
    </xf>
    <xf numFmtId="184" fontId="13" fillId="0" borderId="0" xfId="0" applyNumberFormat="1" applyFont="1" applyAlignment="1">
      <alignment horizontal="left" vertical="center"/>
    </xf>
    <xf numFmtId="189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190" fontId="13" fillId="0" borderId="0" xfId="0" applyNumberFormat="1" applyFont="1" applyAlignment="1">
      <alignment horizontal="right" vertical="center"/>
    </xf>
    <xf numFmtId="189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55" applyFont="1" applyAlignment="1">
      <alignment horizontal="center" vertical="center"/>
    </xf>
    <xf numFmtId="0" fontId="16" fillId="0" borderId="0" xfId="55" applyFont="1" applyBorder="1" applyAlignment="1">
      <alignment vertical="center"/>
    </xf>
    <xf numFmtId="0" fontId="15" fillId="0" borderId="0" xfId="55" applyFont="1" applyBorder="1" applyAlignment="1">
      <alignment vertical="center"/>
    </xf>
    <xf numFmtId="0" fontId="15" fillId="0" borderId="0" xfId="55" applyFont="1" applyAlignment="1">
      <alignment horizontal="center" vertical="center"/>
    </xf>
    <xf numFmtId="0" fontId="13" fillId="0" borderId="0" xfId="55" applyFont="1" applyAlignment="1">
      <alignment horizontal="center" vertical="center"/>
    </xf>
    <xf numFmtId="0" fontId="17" fillId="0" borderId="0" xfId="55" applyFont="1" applyAlignment="1">
      <alignment horizontal="center" vertical="center"/>
    </xf>
    <xf numFmtId="0" fontId="13" fillId="0" borderId="0" xfId="55" applyFont="1" applyAlignment="1">
      <alignment horizontal="center" vertical="center"/>
    </xf>
    <xf numFmtId="0" fontId="18" fillId="0" borderId="0" xfId="55" applyFont="1" applyBorder="1" applyAlignment="1">
      <alignment horizontal="right" vertical="center"/>
    </xf>
    <xf numFmtId="10" fontId="18" fillId="0" borderId="0" xfId="55" applyNumberFormat="1" applyFont="1" applyBorder="1" applyAlignment="1">
      <alignment horizontal="center" vertical="center"/>
    </xf>
    <xf numFmtId="187" fontId="18" fillId="0" borderId="0" xfId="55" applyNumberFormat="1" applyFont="1" applyBorder="1" applyAlignment="1">
      <alignment horizontal="center" vertical="center"/>
    </xf>
    <xf numFmtId="189" fontId="13" fillId="0" borderId="0" xfId="55" applyNumberFormat="1" applyFont="1" applyAlignment="1">
      <alignment horizontal="center" vertical="center"/>
    </xf>
    <xf numFmtId="0" fontId="13" fillId="0" borderId="0" xfId="55" applyFont="1" applyBorder="1" applyAlignment="1">
      <alignment horizontal="center" vertical="center"/>
    </xf>
    <xf numFmtId="0" fontId="19" fillId="3" borderId="8" xfId="55" applyFont="1" applyFill="1" applyBorder="1" applyAlignment="1">
      <alignment horizontal="center" vertical="center" wrapText="1" shrinkToFit="1"/>
    </xf>
    <xf numFmtId="0" fontId="19" fillId="3" borderId="8" xfId="55" applyFont="1" applyFill="1" applyBorder="1" applyAlignment="1">
      <alignment horizontal="center" vertical="center" shrinkToFit="1"/>
    </xf>
    <xf numFmtId="0" fontId="13" fillId="3" borderId="8" xfId="55" applyFont="1" applyFill="1" applyBorder="1" applyAlignment="1">
      <alignment horizontal="center" vertical="center" shrinkToFit="1"/>
    </xf>
    <xf numFmtId="0" fontId="19" fillId="3" borderId="8" xfId="55" applyFont="1" applyFill="1" applyBorder="1" applyAlignment="1">
      <alignment vertical="center" shrinkToFit="1"/>
    </xf>
    <xf numFmtId="0" fontId="13" fillId="0" borderId="9" xfId="0" applyFont="1" applyBorder="1" applyAlignment="1">
      <alignment horizontal="center" vertical="center"/>
    </xf>
    <xf numFmtId="184" fontId="13" fillId="0" borderId="10" xfId="0" applyNumberFormat="1" applyFont="1" applyBorder="1" applyAlignment="1">
      <alignment horizontal="left" vertical="center"/>
    </xf>
    <xf numFmtId="20" fontId="13" fillId="0" borderId="6" xfId="0" applyNumberFormat="1" applyFont="1" applyBorder="1" applyAlignment="1">
      <alignment horizontal="left" vertical="center" shrinkToFit="1"/>
    </xf>
    <xf numFmtId="0" fontId="14" fillId="0" borderId="11" xfId="0" applyFont="1" applyBorder="1" applyAlignment="1">
      <alignment horizontal="left" vertical="center" shrinkToFi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 shrinkToFit="1"/>
    </xf>
    <xf numFmtId="187" fontId="13" fillId="0" borderId="12" xfId="61" applyFont="1" applyBorder="1" applyAlignment="1" applyProtection="1">
      <alignment horizontal="right" vertical="center" shrinkToFit="1"/>
    </xf>
    <xf numFmtId="189" fontId="13" fillId="4" borderId="13" xfId="52" applyNumberFormat="1" applyFont="1" applyFill="1" applyBorder="1" applyAlignment="1" applyProtection="1">
      <alignment horizontal="center" vertical="center" shrinkToFit="1"/>
    </xf>
    <xf numFmtId="187" fontId="13" fillId="0" borderId="11" xfId="52" applyFont="1" applyBorder="1" applyAlignment="1" applyProtection="1">
      <alignment horizontal="center" vertical="center" shrinkToFit="1"/>
    </xf>
    <xf numFmtId="10" fontId="13" fillId="4" borderId="14" xfId="51" applyNumberFormat="1" applyFont="1" applyFill="1" applyBorder="1" applyAlignment="1" applyProtection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/>
    </xf>
    <xf numFmtId="184" fontId="13" fillId="0" borderId="15" xfId="0" applyNumberFormat="1" applyFont="1" applyBorder="1" applyAlignment="1">
      <alignment horizontal="left" vertical="center"/>
    </xf>
    <xf numFmtId="20" fontId="13" fillId="0" borderId="11" xfId="0" applyNumberFormat="1" applyFont="1" applyBorder="1" applyAlignment="1">
      <alignment horizontal="left" vertical="center" shrinkToFit="1"/>
    </xf>
    <xf numFmtId="0" fontId="14" fillId="0" borderId="18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 shrinkToFit="1"/>
    </xf>
    <xf numFmtId="187" fontId="13" fillId="0" borderId="19" xfId="61" applyFont="1" applyBorder="1" applyAlignment="1" applyProtection="1">
      <alignment horizontal="right" vertical="center" shrinkToFit="1"/>
    </xf>
    <xf numFmtId="189" fontId="13" fillId="4" borderId="20" xfId="52" applyNumberFormat="1" applyFont="1" applyFill="1" applyBorder="1" applyAlignment="1" applyProtection="1">
      <alignment horizontal="center" vertical="center" shrinkToFit="1"/>
    </xf>
    <xf numFmtId="187" fontId="13" fillId="0" borderId="18" xfId="52" applyFont="1" applyBorder="1" applyAlignment="1" applyProtection="1">
      <alignment horizontal="center" vertical="center" shrinkToFit="1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184" fontId="13" fillId="0" borderId="21" xfId="0" applyNumberFormat="1" applyFont="1" applyBorder="1" applyAlignment="1">
      <alignment horizontal="left" vertical="center"/>
    </xf>
    <xf numFmtId="20" fontId="13" fillId="0" borderId="18" xfId="0" applyNumberFormat="1" applyFont="1" applyBorder="1" applyAlignment="1">
      <alignment horizontal="left" vertical="center" shrinkToFit="1"/>
    </xf>
    <xf numFmtId="184" fontId="13" fillId="0" borderId="20" xfId="0" applyNumberFormat="1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187" fontId="13" fillId="0" borderId="19" xfId="61" applyFont="1" applyBorder="1" applyAlignment="1" applyProtection="1">
      <alignment horizontal="right" vertical="center"/>
    </xf>
    <xf numFmtId="191" fontId="13" fillId="0" borderId="20" xfId="0" applyNumberFormat="1" applyFont="1" applyBorder="1" applyAlignment="1">
      <alignment horizontal="left" vertical="center"/>
    </xf>
    <xf numFmtId="191" fontId="13" fillId="0" borderId="20" xfId="0" applyNumberFormat="1" applyFont="1" applyBorder="1" applyAlignment="1">
      <alignment horizontal="left" vertical="center" shrinkToFit="1"/>
    </xf>
    <xf numFmtId="0" fontId="13" fillId="0" borderId="22" xfId="0" applyFont="1" applyBorder="1" applyAlignment="1">
      <alignment horizontal="center" vertical="center"/>
    </xf>
    <xf numFmtId="191" fontId="13" fillId="0" borderId="23" xfId="0" applyNumberFormat="1" applyFont="1" applyBorder="1" applyAlignment="1">
      <alignment horizontal="left" vertical="center" shrinkToFit="1"/>
    </xf>
    <xf numFmtId="0" fontId="13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shrinkToFit="1"/>
    </xf>
    <xf numFmtId="0" fontId="13" fillId="0" borderId="8" xfId="0" applyFont="1" applyBorder="1" applyAlignment="1">
      <alignment horizontal="center" vertical="center" shrinkToFit="1"/>
    </xf>
    <xf numFmtId="187" fontId="13" fillId="0" borderId="24" xfId="61" applyFont="1" applyBorder="1" applyAlignment="1" applyProtection="1">
      <alignment horizontal="right" vertical="center" shrinkToFit="1"/>
    </xf>
    <xf numFmtId="0" fontId="13" fillId="0" borderId="2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6" xfId="0" applyFont="1" applyBorder="1" applyAlignment="1">
      <alignment vertical="center"/>
    </xf>
    <xf numFmtId="184" fontId="13" fillId="0" borderId="27" xfId="0" applyNumberFormat="1" applyFont="1" applyBorder="1" applyAlignment="1">
      <alignment horizontal="left" vertical="center" shrinkToFit="1"/>
    </xf>
    <xf numFmtId="0" fontId="13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 shrinkToFit="1"/>
    </xf>
    <xf numFmtId="190" fontId="13" fillId="0" borderId="28" xfId="0" applyNumberFormat="1" applyFont="1" applyBorder="1" applyAlignment="1">
      <alignment horizontal="right" vertical="center" shrinkToFit="1"/>
    </xf>
    <xf numFmtId="187" fontId="13" fillId="0" borderId="5" xfId="61" applyFont="1" applyBorder="1" applyAlignment="1" applyProtection="1">
      <alignment vertical="center" shrinkToFit="1"/>
    </xf>
    <xf numFmtId="10" fontId="13" fillId="0" borderId="5" xfId="51" applyNumberFormat="1" applyFont="1" applyBorder="1" applyAlignment="1" applyProtection="1">
      <alignment horizontal="center" vertical="center"/>
    </xf>
    <xf numFmtId="187" fontId="13" fillId="0" borderId="28" xfId="61" applyFont="1" applyBorder="1" applyAlignment="1" applyProtection="1">
      <alignment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center" vertical="center" shrinkToFit="1"/>
    </xf>
    <xf numFmtId="0" fontId="13" fillId="0" borderId="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92" fontId="13" fillId="0" borderId="2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5" borderId="31" xfId="0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93" fontId="22" fillId="0" borderId="6" xfId="61" applyNumberFormat="1" applyFont="1" applyBorder="1" applyAlignment="1" applyProtection="1">
      <alignment horizontal="center" vertical="center"/>
    </xf>
    <xf numFmtId="193" fontId="22" fillId="0" borderId="12" xfId="61" applyNumberFormat="1" applyFont="1" applyBorder="1" applyAlignment="1" applyProtection="1">
      <alignment horizontal="center" vertical="center"/>
    </xf>
    <xf numFmtId="0" fontId="22" fillId="0" borderId="34" xfId="0" applyFont="1" applyBorder="1" applyAlignment="1">
      <alignment horizontal="center" vertical="center"/>
    </xf>
    <xf numFmtId="194" fontId="22" fillId="0" borderId="34" xfId="61" applyNumberFormat="1" applyFont="1" applyBorder="1" applyAlignment="1" applyProtection="1">
      <alignment horizontal="center" vertical="center"/>
    </xf>
    <xf numFmtId="194" fontId="22" fillId="0" borderId="35" xfId="61" applyNumberFormat="1" applyFont="1" applyBorder="1" applyAlignment="1" applyProtection="1">
      <alignment horizontal="center" vertical="center"/>
    </xf>
    <xf numFmtId="193" fontId="22" fillId="0" borderId="12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8" xfId="61" applyNumberFormat="1" applyFont="1" applyBorder="1" applyAlignment="1" applyProtection="1">
      <alignment horizontal="center" vertical="center"/>
    </xf>
    <xf numFmtId="2" fontId="22" fillId="0" borderId="8" xfId="61" applyNumberFormat="1" applyFont="1" applyBorder="1" applyAlignment="1" applyProtection="1">
      <alignment horizontal="center" vertical="center"/>
    </xf>
    <xf numFmtId="192" fontId="22" fillId="0" borderId="24" xfId="61" applyNumberFormat="1" applyFont="1" applyBorder="1" applyAlignment="1" applyProtection="1">
      <alignment horizontal="center" vertical="center"/>
    </xf>
    <xf numFmtId="0" fontId="22" fillId="0" borderId="11" xfId="0" applyFont="1" applyBorder="1" applyAlignment="1">
      <alignment horizontal="center" vertical="center"/>
    </xf>
    <xf numFmtId="193" fontId="22" fillId="0" borderId="16" xfId="0" applyNumberFormat="1" applyFont="1" applyBorder="1" applyAlignment="1">
      <alignment horizontal="center" vertical="center"/>
    </xf>
    <xf numFmtId="193" fontId="22" fillId="0" borderId="8" xfId="61" applyNumberFormat="1" applyFont="1" applyBorder="1" applyAlignment="1" applyProtection="1">
      <alignment horizontal="center" vertical="center"/>
    </xf>
    <xf numFmtId="194" fontId="22" fillId="0" borderId="24" xfId="61" applyNumberFormat="1" applyFont="1" applyBorder="1" applyAlignment="1" applyProtection="1">
      <alignment horizontal="center" vertical="center"/>
    </xf>
    <xf numFmtId="195" fontId="22" fillId="0" borderId="8" xfId="61" applyNumberFormat="1" applyFont="1" applyBorder="1" applyAlignment="1" applyProtection="1">
      <alignment horizontal="center" vertical="center"/>
    </xf>
    <xf numFmtId="195" fontId="22" fillId="0" borderId="24" xfId="61" applyNumberFormat="1" applyFont="1" applyBorder="1" applyAlignment="1" applyProtection="1">
      <alignment horizontal="center" vertical="center"/>
    </xf>
    <xf numFmtId="195" fontId="22" fillId="0" borderId="34" xfId="61" applyNumberFormat="1" applyFont="1" applyBorder="1" applyAlignment="1" applyProtection="1">
      <alignment horizontal="center" vertical="center"/>
    </xf>
    <xf numFmtId="195" fontId="22" fillId="0" borderId="35" xfId="61" applyNumberFormat="1" applyFont="1" applyBorder="1" applyAlignment="1" applyProtection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2" fillId="0" borderId="38" xfId="0" applyFont="1" applyBorder="1" applyAlignment="1">
      <alignment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2" fontId="22" fillId="0" borderId="34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2" fontId="22" fillId="0" borderId="6" xfId="0" applyNumberFormat="1" applyFont="1" applyBorder="1" applyAlignment="1">
      <alignment horizontal="center" vertical="center"/>
    </xf>
    <xf numFmtId="2" fontId="22" fillId="0" borderId="8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87" fontId="22" fillId="0" borderId="10" xfId="61" applyFont="1" applyBorder="1" applyAlignment="1" applyProtection="1">
      <alignment horizontal="center" vertical="center"/>
    </xf>
    <xf numFmtId="187" fontId="22" fillId="0" borderId="6" xfId="61" applyFont="1" applyBorder="1" applyAlignment="1" applyProtection="1">
      <alignment horizontal="center" vertical="center"/>
    </xf>
    <xf numFmtId="187" fontId="22" fillId="0" borderId="12" xfId="61" applyFont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Font="1">
      <alignment vertical="center"/>
    </xf>
    <xf numFmtId="187" fontId="0" fillId="0" borderId="18" xfId="61" applyFont="1" applyBorder="1" applyAlignment="1" applyProtection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92" fontId="0" fillId="0" borderId="18" xfId="0" applyNumberFormat="1" applyBorder="1" applyAlignment="1">
      <alignment horizontal="center" vertical="center"/>
    </xf>
    <xf numFmtId="187" fontId="22" fillId="0" borderId="18" xfId="61" applyFont="1" applyBorder="1" applyAlignment="1" applyProtection="1">
      <alignment horizontal="center" vertical="center"/>
    </xf>
    <xf numFmtId="196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87" fontId="22" fillId="0" borderId="25" xfId="61" applyFont="1" applyBorder="1" applyAlignment="1" applyProtection="1">
      <alignment horizontal="center" vertical="center"/>
    </xf>
    <xf numFmtId="193" fontId="0" fillId="0" borderId="8" xfId="61" applyNumberFormat="1" applyFont="1" applyBorder="1" applyAlignment="1" applyProtection="1">
      <alignment horizontal="center" vertical="center"/>
    </xf>
    <xf numFmtId="193" fontId="22" fillId="0" borderId="18" xfId="61" applyNumberFormat="1" applyFont="1" applyBorder="1" applyAlignment="1" applyProtection="1">
      <alignment horizontal="center" vertical="center"/>
    </xf>
    <xf numFmtId="0" fontId="0" fillId="0" borderId="18" xfId="0" applyFont="1" applyBorder="1" applyAlignment="1">
      <alignment horizontal="center" vertical="center"/>
    </xf>
    <xf numFmtId="197" fontId="0" fillId="0" borderId="18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193" fontId="22" fillId="6" borderId="6" xfId="61" applyNumberFormat="1" applyFont="1" applyFill="1" applyBorder="1" applyAlignment="1" applyProtection="1">
      <alignment horizontal="center" vertical="center"/>
    </xf>
    <xf numFmtId="193" fontId="22" fillId="6" borderId="12" xfId="61" applyNumberFormat="1" applyFont="1" applyFill="1" applyBorder="1" applyAlignment="1" applyProtection="1">
      <alignment horizontal="center" vertical="center"/>
    </xf>
    <xf numFmtId="0" fontId="22" fillId="6" borderId="34" xfId="0" applyFont="1" applyFill="1" applyBorder="1" applyAlignment="1">
      <alignment horizontal="center" vertical="center"/>
    </xf>
    <xf numFmtId="194" fontId="22" fillId="6" borderId="34" xfId="61" applyNumberFormat="1" applyFont="1" applyFill="1" applyBorder="1" applyAlignment="1" applyProtection="1">
      <alignment horizontal="center" vertical="center"/>
    </xf>
    <xf numFmtId="194" fontId="22" fillId="6" borderId="35" xfId="61" applyNumberFormat="1" applyFont="1" applyFill="1" applyBorder="1" applyAlignment="1" applyProtection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193" fontId="22" fillId="6" borderId="11" xfId="61" applyNumberFormat="1" applyFont="1" applyFill="1" applyBorder="1" applyAlignment="1" applyProtection="1">
      <alignment horizontal="center" vertical="center"/>
    </xf>
    <xf numFmtId="193" fontId="22" fillId="6" borderId="16" xfId="0" applyNumberFormat="1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193" fontId="22" fillId="6" borderId="8" xfId="61" applyNumberFormat="1" applyFont="1" applyFill="1" applyBorder="1" applyAlignment="1" applyProtection="1">
      <alignment horizontal="center" vertical="center"/>
    </xf>
    <xf numFmtId="194" fontId="22" fillId="6" borderId="24" xfId="61" applyNumberFormat="1" applyFont="1" applyFill="1" applyBorder="1" applyAlignment="1" applyProtection="1">
      <alignment horizontal="center" vertical="center"/>
    </xf>
    <xf numFmtId="193" fontId="22" fillId="6" borderId="12" xfId="0" applyNumberFormat="1" applyFont="1" applyFill="1" applyBorder="1" applyAlignment="1">
      <alignment horizontal="center" vertical="center"/>
    </xf>
    <xf numFmtId="195" fontId="22" fillId="6" borderId="8" xfId="61" applyNumberFormat="1" applyFont="1" applyFill="1" applyBorder="1" applyAlignment="1" applyProtection="1">
      <alignment horizontal="center" vertical="center"/>
    </xf>
    <xf numFmtId="195" fontId="22" fillId="6" borderId="24" xfId="61" applyNumberFormat="1" applyFont="1" applyFill="1" applyBorder="1" applyAlignment="1" applyProtection="1">
      <alignment horizontal="center" vertical="center"/>
    </xf>
    <xf numFmtId="195" fontId="22" fillId="6" borderId="34" xfId="61" applyNumberFormat="1" applyFont="1" applyFill="1" applyBorder="1" applyAlignment="1" applyProtection="1">
      <alignment horizontal="center" vertical="center"/>
    </xf>
    <xf numFmtId="195" fontId="22" fillId="6" borderId="35" xfId="61" applyNumberFormat="1" applyFont="1" applyFill="1" applyBorder="1" applyAlignment="1" applyProtection="1">
      <alignment horizontal="center" vertical="center"/>
    </xf>
    <xf numFmtId="195" fontId="22" fillId="6" borderId="6" xfId="61" applyNumberFormat="1" applyFont="1" applyFill="1" applyBorder="1" applyAlignment="1" applyProtection="1">
      <alignment horizontal="center" vertical="center"/>
    </xf>
    <xf numFmtId="195" fontId="22" fillId="6" borderId="12" xfId="61" applyNumberFormat="1" applyFont="1" applyFill="1" applyBorder="1" applyAlignment="1" applyProtection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2" fontId="22" fillId="6" borderId="34" xfId="0" applyNumberFormat="1" applyFont="1" applyFill="1" applyBorder="1" applyAlignment="1">
      <alignment horizontal="center" vertical="center"/>
    </xf>
    <xf numFmtId="2" fontId="22" fillId="6" borderId="24" xfId="0" applyNumberFormat="1" applyFont="1" applyFill="1" applyBorder="1" applyAlignment="1">
      <alignment horizontal="center" vertical="center"/>
    </xf>
    <xf numFmtId="2" fontId="22" fillId="6" borderId="8" xfId="0" applyNumberFormat="1" applyFont="1" applyFill="1" applyBorder="1" applyAlignment="1">
      <alignment horizontal="center" vertical="center"/>
    </xf>
    <xf numFmtId="193" fontId="22" fillId="6" borderId="6" xfId="62" applyNumberFormat="1" applyFont="1" applyFill="1" applyBorder="1" applyAlignment="1" applyProtection="1">
      <alignment horizontal="center" vertical="center"/>
    </xf>
    <xf numFmtId="193" fontId="22" fillId="6" borderId="12" xfId="62" applyNumberFormat="1" applyFont="1" applyFill="1" applyBorder="1" applyAlignment="1" applyProtection="1">
      <alignment horizontal="center" vertical="center"/>
    </xf>
    <xf numFmtId="189" fontId="22" fillId="0" borderId="34" xfId="61" applyNumberFormat="1" applyFont="1" applyBorder="1" applyAlignment="1" applyProtection="1">
      <alignment horizontal="center" vertical="center"/>
    </xf>
    <xf numFmtId="193" fontId="22" fillId="0" borderId="11" xfId="62" applyNumberFormat="1" applyFont="1" applyBorder="1" applyAlignment="1" applyProtection="1">
      <alignment horizontal="center" vertical="center"/>
    </xf>
    <xf numFmtId="0" fontId="0" fillId="0" borderId="21" xfId="0" applyBorder="1">
      <alignment vertical="center"/>
    </xf>
    <xf numFmtId="2" fontId="0" fillId="0" borderId="19" xfId="61" applyNumberFormat="1" applyFont="1" applyBorder="1" applyAlignment="1" applyProtection="1">
      <alignment horizontal="center" vertical="center"/>
    </xf>
    <xf numFmtId="2" fontId="22" fillId="0" borderId="19" xfId="61" applyNumberFormat="1" applyFont="1" applyBorder="1" applyAlignment="1" applyProtection="1">
      <alignment horizontal="center" vertical="center"/>
    </xf>
    <xf numFmtId="195" fontId="22" fillId="6" borderId="11" xfId="61" applyNumberFormat="1" applyFont="1" applyFill="1" applyBorder="1" applyAlignment="1" applyProtection="1">
      <alignment horizontal="center" vertical="center"/>
    </xf>
    <xf numFmtId="41" fontId="22" fillId="6" borderId="11" xfId="62" applyFont="1" applyFill="1" applyBorder="1" applyAlignment="1" applyProtection="1">
      <alignment horizontal="center" vertical="center"/>
    </xf>
    <xf numFmtId="189" fontId="22" fillId="0" borderId="6" xfId="61" applyNumberFormat="1" applyFont="1" applyBorder="1" applyAlignment="1" applyProtection="1">
      <alignment horizontal="center" vertical="center"/>
    </xf>
    <xf numFmtId="189" fontId="22" fillId="0" borderId="8" xfId="61" applyNumberFormat="1" applyFont="1" applyBorder="1" applyAlignment="1" applyProtection="1">
      <alignment horizontal="center" vertical="center"/>
    </xf>
    <xf numFmtId="2" fontId="22" fillId="6" borderId="11" xfId="0" applyNumberFormat="1" applyFont="1" applyFill="1" applyBorder="1" applyAlignment="1">
      <alignment horizontal="center" vertical="center"/>
    </xf>
    <xf numFmtId="192" fontId="22" fillId="0" borderId="19" xfId="61" applyNumberFormat="1" applyFont="1" applyBorder="1" applyAlignment="1" applyProtection="1">
      <alignment horizontal="center" vertical="center"/>
    </xf>
    <xf numFmtId="192" fontId="22" fillId="0" borderId="35" xfId="61" applyNumberFormat="1" applyFont="1" applyBorder="1" applyAlignment="1" applyProtection="1">
      <alignment horizontal="center" vertical="center"/>
    </xf>
    <xf numFmtId="195" fontId="22" fillId="0" borderId="34" xfId="0" applyNumberFormat="1" applyFont="1" applyBorder="1" applyAlignment="1">
      <alignment horizontal="center" vertical="center"/>
    </xf>
    <xf numFmtId="195" fontId="22" fillId="0" borderId="35" xfId="0" applyNumberFormat="1" applyFont="1" applyBorder="1" applyAlignment="1">
      <alignment horizontal="center" vertical="center"/>
    </xf>
    <xf numFmtId="0" fontId="0" fillId="0" borderId="10" xfId="0" applyBorder="1">
      <alignment vertical="center"/>
    </xf>
    <xf numFmtId="193" fontId="0" fillId="0" borderId="12" xfId="0" applyNumberFormat="1" applyBorder="1" applyAlignment="1">
      <alignment horizontal="center" vertical="center"/>
    </xf>
    <xf numFmtId="0" fontId="0" fillId="0" borderId="25" xfId="0" applyBorder="1">
      <alignment vertical="center"/>
    </xf>
    <xf numFmtId="2" fontId="0" fillId="0" borderId="24" xfId="0" applyNumberFormat="1" applyBorder="1" applyAlignment="1">
      <alignment horizontal="center" vertical="center"/>
    </xf>
    <xf numFmtId="0" fontId="19" fillId="3" borderId="6" xfId="55" applyFont="1" applyFill="1" applyBorder="1" applyAlignment="1">
      <alignment horizontal="center" vertical="center" shrinkToFit="1"/>
    </xf>
    <xf numFmtId="0" fontId="19" fillId="3" borderId="5" xfId="55" applyFont="1" applyFill="1" applyBorder="1" applyAlignment="1">
      <alignment horizontal="center" vertical="center" wrapText="1" shrinkToFit="1"/>
    </xf>
    <xf numFmtId="0" fontId="19" fillId="3" borderId="7" xfId="55" applyFont="1" applyFill="1" applyBorder="1" applyAlignment="1">
      <alignment horizontal="center" vertical="center" wrapText="1" shrinkToFit="1"/>
    </xf>
    <xf numFmtId="0" fontId="19" fillId="3" borderId="5" xfId="55" applyFont="1" applyFill="1" applyBorder="1" applyAlignment="1">
      <alignment horizontal="center" vertical="center" shrinkToFit="1"/>
    </xf>
    <xf numFmtId="187" fontId="19" fillId="3" borderId="5" xfId="61" applyFont="1" applyFill="1" applyBorder="1" applyAlignment="1" applyProtection="1">
      <alignment horizontal="center" vertical="center" wrapText="1" shrinkToFit="1"/>
    </xf>
    <xf numFmtId="189" fontId="19" fillId="3" borderId="5" xfId="55" applyNumberFormat="1" applyFont="1" applyFill="1" applyBorder="1" applyAlignment="1">
      <alignment horizontal="center" vertical="center" wrapText="1" shrinkToFit="1"/>
    </xf>
    <xf numFmtId="191" fontId="19" fillId="3" borderId="4" xfId="55" applyNumberFormat="1" applyFont="1" applyFill="1" applyBorder="1" applyAlignment="1">
      <alignment horizontal="center" vertical="center" shrinkToFit="1"/>
    </xf>
    <xf numFmtId="191" fontId="19" fillId="3" borderId="5" xfId="55" applyNumberFormat="1" applyFont="1" applyFill="1" applyBorder="1" applyAlignment="1">
      <alignment horizontal="center" vertical="center" shrinkToFit="1"/>
    </xf>
    <xf numFmtId="189" fontId="19" fillId="3" borderId="5" xfId="55" applyNumberFormat="1" applyFont="1" applyFill="1" applyBorder="1" applyAlignment="1">
      <alignment horizontal="center" vertical="center" shrinkToFit="1"/>
    </xf>
    <xf numFmtId="0" fontId="20" fillId="3" borderId="5" xfId="55" applyFont="1" applyFill="1" applyBorder="1" applyAlignment="1">
      <alignment horizontal="center" vertical="center" wrapText="1" shrinkToFit="1"/>
    </xf>
    <xf numFmtId="0" fontId="0" fillId="0" borderId="36" xfId="0" applyFont="1" applyBorder="1" applyAlignment="1">
      <alignment horizontal="center" vertical="center"/>
    </xf>
    <xf numFmtId="0" fontId="0" fillId="6" borderId="27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0" fillId="6" borderId="25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 wrapText="1"/>
    </xf>
    <xf numFmtId="0" fontId="0" fillId="6" borderId="33" xfId="0" applyFont="1" applyFill="1" applyBorder="1" applyAlignment="1">
      <alignment horizontal="center" vertical="center" wrapText="1"/>
    </xf>
    <xf numFmtId="0" fontId="0" fillId="6" borderId="27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</cellXfs>
  <cellStyles count="63">
    <cellStyle name="??&amp;O?&amp;H?_x0008__x000f__x0007_?_x0007__x0001__x0001_" xfId="1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"/>
    <cellStyle name="Calc Currency (0)" xfId="3"/>
    <cellStyle name="Calc Currency (2)" xfId="4"/>
    <cellStyle name="Calc Percent (0)" xfId="5"/>
    <cellStyle name="Calc Percent (1)" xfId="6"/>
    <cellStyle name="Calc Percent (2)" xfId="7"/>
    <cellStyle name="Calc Units (0)" xfId="8"/>
    <cellStyle name="Calc Units (1)" xfId="9"/>
    <cellStyle name="Calc Units (2)" xfId="10"/>
    <cellStyle name="category" xfId="11"/>
    <cellStyle name="Comma [0]_#6 Temps &amp; Contractors" xfId="13"/>
    <cellStyle name="Comma [00]" xfId="12"/>
    <cellStyle name="Comma_#6 Temps &amp; Contractors" xfId="14"/>
    <cellStyle name="Currency [0]_#6 Temps &amp; Contractors" xfId="16"/>
    <cellStyle name="Currency [00]" xfId="15"/>
    <cellStyle name="Currency_#6 Temps &amp; Contractors" xfId="17"/>
    <cellStyle name="Date Short" xfId="18"/>
    <cellStyle name="Enter Currency (0)" xfId="19"/>
    <cellStyle name="Enter Currency (2)" xfId="20"/>
    <cellStyle name="Enter Units (0)" xfId="21"/>
    <cellStyle name="Enter Units (1)" xfId="22"/>
    <cellStyle name="Enter Units (2)" xfId="23"/>
    <cellStyle name="Excel Built-in Comma [0]" xfId="61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 - Style1" xfId="35"/>
    <cellStyle name="Normal_# 41-Market &amp;Trends" xfId="36"/>
    <cellStyle name="Percent [0]" xfId="38"/>
    <cellStyle name="Percent [00]" xfId="37"/>
    <cellStyle name="Percent [2]" xfId="39"/>
    <cellStyle name="Percent_#6 Temps &amp; Contractors" xfId="40"/>
    <cellStyle name="PrePop Currency (0)" xfId="41"/>
    <cellStyle name="PrePop Currency (2)" xfId="42"/>
    <cellStyle name="PrePop Units (0)" xfId="43"/>
    <cellStyle name="PrePop Units (1)" xfId="44"/>
    <cellStyle name="PrePop Units (2)" xfId="45"/>
    <cellStyle name="subhead" xfId="46"/>
    <cellStyle name="Text Indent A" xfId="47"/>
    <cellStyle name="Text Indent B" xfId="48"/>
    <cellStyle name="Text Indent C" xfId="49"/>
    <cellStyle name="백분율 2" xfId="50"/>
    <cellStyle name="백분율 3" xfId="51"/>
    <cellStyle name="쉼표 [0]" xfId="62" builtinId="6"/>
    <cellStyle name="쉼표 [0] 2" xfId="52"/>
    <cellStyle name="콤마 [0]_0f83zmlyxsAvDZOSbNwiaTl2F" xfId="53"/>
    <cellStyle name="콤마_0f83zmlyxsAvDZOSbNwiaTl2F" xfId="54"/>
    <cellStyle name="표준" xfId="0" builtinId="0"/>
    <cellStyle name="표준 2" xfId="55"/>
    <cellStyle name="표준 2 2" xfId="56"/>
    <cellStyle name="표준 3" xfId="57"/>
    <cellStyle name="표준 4" xfId="58"/>
    <cellStyle name="표준 4 2" xfId="59"/>
    <cellStyle name="표준 4 3" xfId="60"/>
  </cellStyles>
  <dxfs count="26"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color rgb="FFFF0000"/>
      </font>
      <fill>
        <patternFill>
          <bgColor theme="5" tint="0.79989013336588644"/>
        </patternFill>
      </fill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sz val="11"/>
        <color rgb="FF000000"/>
        <name val="맑은 고딕"/>
      </font>
      <alignment horizontal="general" vertical="center" textRotation="0" wrapText="0" indent="0" shrinkToFit="0"/>
    </dxf>
    <dxf>
      <font>
        <color rgb="FFFF0000"/>
      </font>
      <fill>
        <patternFill>
          <bgColor theme="5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8EB4E3"/>
      <rgbColor rgb="FF878787"/>
      <rgbColor rgb="FF8EA5CA"/>
      <rgbColor rgb="FFAB4744"/>
      <rgbColor rgb="FFF2DCDB"/>
      <rgbColor rgb="FFCCFFFF"/>
      <rgbColor rgb="FF660066"/>
      <rgbColor rgb="FFDC853E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BFD2"/>
      <rgbColor rgb="FFCC8F8E"/>
      <rgbColor rgb="FFCC99FF"/>
      <rgbColor rgb="FFF5B089"/>
      <rgbColor rgb="FF4672A8"/>
      <rgbColor rgb="FF33CCCC"/>
      <rgbColor rgb="FF9BBB59"/>
      <rgbColor rgb="FFFFC000"/>
      <rgbColor rgb="FFFF9900"/>
      <rgbColor rgb="FFFF6600"/>
      <rgbColor rgb="FF725990"/>
      <rgbColor rgb="FFA596B9"/>
      <rgbColor rgb="FF003366"/>
      <rgbColor rgb="FF4299B0"/>
      <rgbColor rgb="FF003300"/>
      <rgbColor rgb="FF333300"/>
      <rgbColor rgb="FF993300"/>
      <rgbColor rgb="FF8064A2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200" b="1" strike="noStrike" spc="-1">
                <a:solidFill>
                  <a:srgbClr val="000000"/>
                </a:solidFill>
                <a:latin typeface="Calibri"/>
              </a:rPr>
              <a:t>업체 별 불량 률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수입검사!$A$3</c:f>
              <c:strCache>
                <c:ptCount val="1"/>
                <c:pt idx="0">
                  <c:v>CNB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수입검사!$C$4:$N$4</c:f>
              <c:numCache>
                <c:formatCode>#,##0.00_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D17-ACF3-82CC3726AA09}"/>
            </c:ext>
          </c:extLst>
        </c:ser>
        <c:ser>
          <c:idx val="1"/>
          <c:order val="1"/>
          <c:tx>
            <c:strRef>
              <c:f>수입검사!$A$5</c:f>
              <c:strCache>
                <c:ptCount val="1"/>
                <c:pt idx="0">
                  <c:v>미래 ENG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수입검사!$C$6:$N$6</c:f>
              <c:numCache>
                <c:formatCode>#,##0.00_ </c:formatCode>
                <c:ptCount val="12"/>
                <c:pt idx="0">
                  <c:v>0</c:v>
                </c:pt>
                <c:pt idx="1">
                  <c:v>0.65789473684210531</c:v>
                </c:pt>
                <c:pt idx="2">
                  <c:v>0</c:v>
                </c:pt>
                <c:pt idx="3">
                  <c:v>4.6728971962616823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B-4D17-ACF3-82CC3726AA09}"/>
            </c:ext>
          </c:extLst>
        </c:ser>
        <c:ser>
          <c:idx val="2"/>
          <c:order val="2"/>
          <c:tx>
            <c:strRef>
              <c:f>수입검사!$A$7</c:f>
              <c:strCache>
                <c:ptCount val="1"/>
                <c:pt idx="0">
                  <c:v>메탈 팩토리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BB-4D17-ACF3-82CC3726AA09}"/>
              </c:ext>
            </c:extLst>
          </c:dPt>
          <c:dLbls>
            <c:dLbl>
              <c:idx val="4"/>
              <c:layout/>
              <c:numFmt formatCode="#,##0.00_);\(#,##0.00\)" sourceLinked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CBB-4D17-ACF3-82CC3726AA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수입검사!$C$8:$N$8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20</c:v>
                </c:pt>
                <c:pt idx="2">
                  <c:v>69.230769230769226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5.6872037914691944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BB-4D17-ACF3-82CC3726AA09}"/>
            </c:ext>
          </c:extLst>
        </c:ser>
        <c:ser>
          <c:idx val="3"/>
          <c:order val="3"/>
          <c:tx>
            <c:strRef>
              <c:f>수입검사!$A$9</c:f>
              <c:strCache>
                <c:ptCount val="1"/>
                <c:pt idx="0">
                  <c:v>전진로링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수입검사!$C$10:$N$10</c:f>
              <c:numCache>
                <c:formatCode>#,##0_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BB-4D17-ACF3-82CC3726AA09}"/>
            </c:ext>
          </c:extLst>
        </c:ser>
        <c:ser>
          <c:idx val="4"/>
          <c:order val="4"/>
          <c:tx>
            <c:strRef>
              <c:f>수입검사!$A$11</c:f>
              <c:strCache>
                <c:ptCount val="1"/>
                <c:pt idx="0">
                  <c:v>시대전자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수입검사!$C$12:$N$12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BB-4D17-ACF3-82CC3726AA09}"/>
            </c:ext>
          </c:extLst>
        </c:ser>
        <c:ser>
          <c:idx val="5"/>
          <c:order val="5"/>
          <c:tx>
            <c:strRef>
              <c:f>수입검사!$A$13</c:f>
              <c:strCache>
                <c:ptCount val="1"/>
                <c:pt idx="0">
                  <c:v>일흥테크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수입검사!$C$14:$N$14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BB-4D17-ACF3-82CC3726A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66984"/>
        <c:axId val="52352969"/>
      </c:barChart>
      <c:lineChart>
        <c:grouping val="standard"/>
        <c:varyColors val="0"/>
        <c:ser>
          <c:idx val="6"/>
          <c:order val="6"/>
          <c:tx>
            <c:strRef>
              <c:f>수입검사!$A$15</c:f>
              <c:strCache>
                <c:ptCount val="1"/>
                <c:pt idx="0">
                  <c:v>시너지테크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수입검사!$C$16:$N$16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1.6990291262135921</c:v>
                </c:pt>
                <c:pt idx="4">
                  <c:v>0</c:v>
                </c:pt>
                <c:pt idx="5">
                  <c:v>1.015228426395939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BB-4D17-ACF3-82CC3726AA09}"/>
            </c:ext>
          </c:extLst>
        </c:ser>
        <c:ser>
          <c:idx val="7"/>
          <c:order val="7"/>
          <c:tx>
            <c:strRef>
              <c:f>수입검사!$A$17</c:f>
              <c:strCache>
                <c:ptCount val="1"/>
                <c:pt idx="0">
                  <c:v>천호금속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수입검사!$C$18:$N$18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BB-4D17-ACF3-82CC3726AA09}"/>
            </c:ext>
          </c:extLst>
        </c:ser>
        <c:ser>
          <c:idx val="8"/>
          <c:order val="8"/>
          <c:tx>
            <c:strRef>
              <c:f>수입검사!$A$29</c:f>
              <c:strCache>
                <c:ptCount val="1"/>
                <c:pt idx="0">
                  <c:v>목표</c:v>
                </c:pt>
              </c:strCache>
            </c:strRef>
          </c:tx>
          <c:spPr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수입검사!$C$29:$N$29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BB-4D17-ACF3-82CC3726AA09}"/>
            </c:ext>
          </c:extLst>
        </c:ser>
        <c:ser>
          <c:idx val="9"/>
          <c:order val="9"/>
          <c:tx>
            <c:strRef>
              <c:f>수입검사!$A$23</c:f>
              <c:strCache>
                <c:ptCount val="1"/>
                <c:pt idx="0">
                  <c:v>JMT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수입검사!$C$24:$N$24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CBB-4D17-ACF3-82CC3726AA09}"/>
            </c:ext>
          </c:extLst>
        </c:ser>
        <c:ser>
          <c:idx val="10"/>
          <c:order val="10"/>
          <c:tx>
            <c:strRef>
              <c:f>수입검사!$A$27</c:f>
              <c:strCache>
                <c:ptCount val="1"/>
                <c:pt idx="0">
                  <c:v>신형 NUT</c:v>
                </c:pt>
              </c:strCache>
            </c:strRef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수입검사!$C$28:$N$28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BB-4D17-ACF3-82CC3726AA09}"/>
            </c:ext>
          </c:extLst>
        </c:ser>
        <c:ser>
          <c:idx val="11"/>
          <c:order val="11"/>
          <c:tx>
            <c:strRef>
              <c:f>수입검사!$A$19</c:f>
              <c:strCache>
                <c:ptCount val="1"/>
                <c:pt idx="0">
                  <c:v>태광시스템</c:v>
                </c:pt>
              </c:strCache>
            </c:strRef>
          </c:tx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수입검사!$C$2:$N$2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수입검사!$C$20:$N$20</c:f>
              <c:numCache>
                <c:formatCode>0.00_);[Red]\(0.00\)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BB-4D17-ACF3-82CC3726AA09}"/>
            </c:ext>
          </c:extLst>
        </c:ser>
        <c:ser>
          <c:idx val="12"/>
          <c:order val="12"/>
          <c:tx>
            <c:strRef>
              <c:f>수입검사!$A$25</c:f>
              <c:strCache>
                <c:ptCount val="1"/>
                <c:pt idx="0">
                  <c:v>갑텍</c:v>
                </c:pt>
              </c:strCache>
            </c:strRef>
          </c:tx>
          <c:marker>
            <c:symbol val="none"/>
          </c:marker>
          <c:val>
            <c:numRef>
              <c:f>수입검사!$C$26:$N$26</c:f>
              <c:numCache>
                <c:formatCode>0_);[Red]\(0\)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2-4540-B309-868C849BD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566984"/>
        <c:axId val="52352969"/>
      </c:lineChart>
      <c:catAx>
        <c:axId val="275669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2352969"/>
        <c:crosses val="autoZero"/>
        <c:auto val="1"/>
        <c:lblAlgn val="ctr"/>
        <c:lblOffset val="100"/>
        <c:noMultiLvlLbl val="0"/>
      </c:catAx>
      <c:valAx>
        <c:axId val="52352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_ 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75669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255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200" b="1" strike="noStrike" spc="-1">
                <a:solidFill>
                  <a:srgbClr val="000000"/>
                </a:solidFill>
                <a:latin typeface="Calibri"/>
              </a:rPr>
              <a:t>업체 별 </a:t>
            </a:r>
            <a:r>
              <a:rPr lang="en-US" sz="1200" b="1" strike="noStrike" spc="-1">
                <a:solidFill>
                  <a:srgbClr val="000000"/>
                </a:solidFill>
                <a:latin typeface="Calibri"/>
              </a:rPr>
              <a:t>Reject Rate [%]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수입검사!$A$49</c:f>
              <c:strCache>
                <c:ptCount val="1"/>
                <c:pt idx="0">
                  <c:v>CNB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수입검사!$C$50:$N$50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33.333333333333336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9-49B7-99A7-528FB3DCF9C1}"/>
            </c:ext>
          </c:extLst>
        </c:ser>
        <c:ser>
          <c:idx val="1"/>
          <c:order val="1"/>
          <c:tx>
            <c:strRef>
              <c:f>수입검사!$A$51</c:f>
              <c:strCache>
                <c:ptCount val="1"/>
                <c:pt idx="0">
                  <c:v>미래 ENG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수입검사!$C$52:$N$52</c:f>
              <c:numCache>
                <c:formatCode>0.00</c:formatCode>
                <c:ptCount val="12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5.2631578947368425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9-49B7-99A7-528FB3DCF9C1}"/>
            </c:ext>
          </c:extLst>
        </c:ser>
        <c:ser>
          <c:idx val="2"/>
          <c:order val="2"/>
          <c:tx>
            <c:strRef>
              <c:f>수입검사!$A$53</c:f>
              <c:strCache>
                <c:ptCount val="1"/>
                <c:pt idx="0">
                  <c:v>메탈 팩토리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수입검사!$C$54:$N$54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16.666666666666668</c:v>
                </c:pt>
                <c:pt idx="7" formatCode="General">
                  <c:v>0</c:v>
                </c:pt>
                <c:pt idx="8">
                  <c:v>0</c:v>
                </c:pt>
                <c:pt idx="9" formatCode="General">
                  <c:v>0</c:v>
                </c:pt>
                <c:pt idx="10">
                  <c:v>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9-49B7-99A7-528FB3DCF9C1}"/>
            </c:ext>
          </c:extLst>
        </c:ser>
        <c:ser>
          <c:idx val="3"/>
          <c:order val="3"/>
          <c:tx>
            <c:strRef>
              <c:f>수입검사!$A$55</c:f>
              <c:strCache>
                <c:ptCount val="1"/>
                <c:pt idx="0">
                  <c:v>전진로링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수입검사!$C$56:$N$56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69-49B7-99A7-528FB3DCF9C1}"/>
            </c:ext>
          </c:extLst>
        </c:ser>
        <c:ser>
          <c:idx val="4"/>
          <c:order val="4"/>
          <c:tx>
            <c:strRef>
              <c:f>수입검사!$A$57</c:f>
              <c:strCache>
                <c:ptCount val="1"/>
                <c:pt idx="0">
                  <c:v>시대전자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수입검사!$C$58:$N$58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69-49B7-99A7-528FB3DCF9C1}"/>
            </c:ext>
          </c:extLst>
        </c:ser>
        <c:ser>
          <c:idx val="5"/>
          <c:order val="5"/>
          <c:tx>
            <c:strRef>
              <c:f>수입검사!$A$59</c:f>
              <c:strCache>
                <c:ptCount val="1"/>
                <c:pt idx="0">
                  <c:v>일흥테크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수입검사!$C$60:$N$60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69-49B7-99A7-528FB3DCF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328366"/>
        <c:axId val="88184689"/>
      </c:barChart>
      <c:lineChart>
        <c:grouping val="standard"/>
        <c:varyColors val="0"/>
        <c:ser>
          <c:idx val="6"/>
          <c:order val="6"/>
          <c:tx>
            <c:strRef>
              <c:f>수입검사!$A$61</c:f>
              <c:strCache>
                <c:ptCount val="1"/>
                <c:pt idx="0">
                  <c:v>시너지테크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수입검사!$C$62:$N$62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69-49B7-99A7-528FB3DCF9C1}"/>
            </c:ext>
          </c:extLst>
        </c:ser>
        <c:ser>
          <c:idx val="7"/>
          <c:order val="7"/>
          <c:tx>
            <c:strRef>
              <c:f>수입검사!$A$63</c:f>
              <c:strCache>
                <c:ptCount val="1"/>
                <c:pt idx="0">
                  <c:v>천호금속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val>
            <c:numRef>
              <c:f>수입검사!$C$64:$N$64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69-49B7-99A7-528FB3DCF9C1}"/>
            </c:ext>
          </c:extLst>
        </c:ser>
        <c:ser>
          <c:idx val="8"/>
          <c:order val="8"/>
          <c:tx>
            <c:strRef>
              <c:f>수입검사!$A$75</c:f>
              <c:strCache>
                <c:ptCount val="1"/>
                <c:pt idx="0">
                  <c:v>목표</c:v>
                </c:pt>
              </c:strCache>
            </c:strRef>
          </c:tx>
          <c:spPr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수입검사!$C$75:$N$75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69-49B7-99A7-528FB3DCF9C1}"/>
            </c:ext>
          </c:extLst>
        </c:ser>
        <c:ser>
          <c:idx val="9"/>
          <c:order val="9"/>
          <c:tx>
            <c:strRef>
              <c:f>수입검사!$A$69</c:f>
              <c:strCache>
                <c:ptCount val="1"/>
                <c:pt idx="0">
                  <c:v>JMT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수입검사!$C$70:$N$70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69-49B7-99A7-528FB3DCF9C1}"/>
            </c:ext>
          </c:extLst>
        </c:ser>
        <c:ser>
          <c:idx val="10"/>
          <c:order val="10"/>
          <c:tx>
            <c:strRef>
              <c:f>수입검사!$A$73</c:f>
              <c:strCache>
                <c:ptCount val="1"/>
                <c:pt idx="0">
                  <c:v>신형 NUT</c:v>
                </c:pt>
              </c:strCache>
            </c:strRef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수입검사!$C$74:$N$74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69-49B7-99A7-528FB3DCF9C1}"/>
            </c:ext>
          </c:extLst>
        </c:ser>
        <c:ser>
          <c:idx val="11"/>
          <c:order val="11"/>
          <c:tx>
            <c:strRef>
              <c:f>수입검사!$A$65</c:f>
              <c:strCache>
                <c:ptCount val="1"/>
                <c:pt idx="0">
                  <c:v>태광시스템</c:v>
                </c:pt>
              </c:strCache>
            </c:strRef>
          </c:tx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수입검사!$C$66:$N$66</c:f>
              <c:numCache>
                <c:formatCode>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69-49B7-99A7-528FB3DCF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328366"/>
        <c:axId val="88184689"/>
      </c:lineChart>
      <c:catAx>
        <c:axId val="913283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8184689"/>
        <c:crosses val="autoZero"/>
        <c:auto val="1"/>
        <c:lblAlgn val="ctr"/>
        <c:lblOffset val="100"/>
        <c:noMultiLvlLbl val="0"/>
      </c:catAx>
      <c:valAx>
        <c:axId val="88184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13283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255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HY견명조"/>
                <a:ea typeface="HY견명조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HY견명조"/>
                <a:ea typeface="HY견명조"/>
              </a:rPr>
              <a:t>2024년 업체별 불량률 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'업체별 현황'!$F$3</c:f>
              <c:strCache>
                <c:ptCount val="1"/>
                <c:pt idx="0">
                  <c:v>불량 %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2B8-4DA1-B0D7-947C4728651A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B8-4DA1-B0D7-947C4728651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2B8-4DA1-B0D7-947C4728651A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2B8-4DA1-B0D7-947C4728651A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2B8-4DA1-B0D7-947C4728651A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2B8-4DA1-B0D7-947C472865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'업체별 현황'!$B$4:$B$15</c:f>
              <c:strCache>
                <c:ptCount val="12"/>
                <c:pt idx="0">
                  <c:v>일흥테크</c:v>
                </c:pt>
                <c:pt idx="1">
                  <c:v>메탈 팩토리</c:v>
                </c:pt>
                <c:pt idx="2">
                  <c:v>미래 ENG</c:v>
                </c:pt>
                <c:pt idx="3">
                  <c:v>시너지테크</c:v>
                </c:pt>
                <c:pt idx="4">
                  <c:v>유니프로</c:v>
                </c:pt>
                <c:pt idx="5">
                  <c:v>JMT</c:v>
                </c:pt>
                <c:pt idx="6">
                  <c:v>천호금속</c:v>
                </c:pt>
                <c:pt idx="7">
                  <c:v>CNB</c:v>
                </c:pt>
                <c:pt idx="8">
                  <c:v>전진로링</c:v>
                </c:pt>
                <c:pt idx="9">
                  <c:v>시대전자</c:v>
                </c:pt>
                <c:pt idx="10">
                  <c:v>태광시스템</c:v>
                </c:pt>
                <c:pt idx="11">
                  <c:v>신형 NUT</c:v>
                </c:pt>
              </c:strCache>
            </c:strRef>
          </c:cat>
          <c:val>
            <c:numRef>
              <c:f>'업체별 현황'!$F$4:$F$15</c:f>
              <c:numCache>
                <c:formatCode>0.00</c:formatCode>
                <c:ptCount val="12"/>
                <c:pt idx="0">
                  <c:v>14.285714285714286</c:v>
                </c:pt>
                <c:pt idx="1">
                  <c:v>7.5466594536110359</c:v>
                </c:pt>
                <c:pt idx="2">
                  <c:v>1.7931034482758619</c:v>
                </c:pt>
                <c:pt idx="3">
                  <c:v>1.0356731875719216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0.21551724137931033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B8-4DA1-B0D7-947C47286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07044"/>
        <c:axId val="78230459"/>
      </c:barChart>
      <c:catAx>
        <c:axId val="509070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8230459"/>
        <c:crosses val="autoZero"/>
        <c:auto val="1"/>
        <c:lblAlgn val="ctr"/>
        <c:lblOffset val="100"/>
        <c:noMultiLvlLbl val="0"/>
      </c:catAx>
      <c:valAx>
        <c:axId val="78230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09070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878787"/>
            </a:solidFill>
            <a:round/>
          </a:ln>
        </c:spPr>
        <c:txPr>
          <a:bodyPr/>
          <a:lstStyle/>
          <a:p>
            <a:pPr rtl="0"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5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000000"/>
                </a:solidFill>
                <a:latin typeface="HY견명조"/>
                <a:ea typeface="HY견명조"/>
              </a:defRPr>
            </a:pPr>
            <a:r>
              <a:rPr lang="en-US" sz="1200" b="1" strike="noStrike" spc="-1">
                <a:solidFill>
                  <a:srgbClr val="000000"/>
                </a:solidFill>
                <a:latin typeface="HY견명조"/>
                <a:ea typeface="HY견명조"/>
              </a:rPr>
              <a:t>2024년 업체 별불합격 률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'업체별 현황'!$F$21</c:f>
              <c:strCache>
                <c:ptCount val="1"/>
                <c:pt idx="0">
                  <c:v>RE Rate[%]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07E-4A72-A9CF-F59DB55E26D3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07E-4A72-A9CF-F59DB55E26D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07E-4A72-A9CF-F59DB55E26D3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07E-4A72-A9CF-F59DB55E26D3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07E-4A72-A9CF-F59DB55E26D3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07E-4A72-A9CF-F59DB55E26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'업체별 현황'!$B$22:$B$33</c:f>
              <c:strCache>
                <c:ptCount val="12"/>
                <c:pt idx="0">
                  <c:v>일흥테크</c:v>
                </c:pt>
                <c:pt idx="1">
                  <c:v>메탈 팩토리</c:v>
                </c:pt>
                <c:pt idx="2">
                  <c:v>미래 ENG</c:v>
                </c:pt>
                <c:pt idx="3">
                  <c:v>CNB</c:v>
                </c:pt>
                <c:pt idx="4">
                  <c:v>전진로링</c:v>
                </c:pt>
                <c:pt idx="5">
                  <c:v>시대전자</c:v>
                </c:pt>
                <c:pt idx="6">
                  <c:v>시너지테크</c:v>
                </c:pt>
                <c:pt idx="7">
                  <c:v>천호금속</c:v>
                </c:pt>
                <c:pt idx="8">
                  <c:v>태광시스템</c:v>
                </c:pt>
                <c:pt idx="9">
                  <c:v>유니프로</c:v>
                </c:pt>
                <c:pt idx="10">
                  <c:v>JMT</c:v>
                </c:pt>
                <c:pt idx="11">
                  <c:v>신형 NUT</c:v>
                </c:pt>
              </c:strCache>
            </c:strRef>
          </c:cat>
          <c:val>
            <c:numRef>
              <c:f>'업체별 현황'!$F$22:$F$33</c:f>
              <c:numCache>
                <c:formatCode>0.00_ </c:formatCode>
                <c:ptCount val="12"/>
                <c:pt idx="0">
                  <c:v>14.285714285714285</c:v>
                </c:pt>
                <c:pt idx="1">
                  <c:v>6.25</c:v>
                </c:pt>
                <c:pt idx="2">
                  <c:v>3.8461538461538463</c:v>
                </c:pt>
                <c:pt idx="3">
                  <c:v>3.8461538461538463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7E-4A72-A9CF-F59DB55E2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1410"/>
        <c:axId val="32282049"/>
      </c:barChart>
      <c:catAx>
        <c:axId val="201814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2282049"/>
        <c:crosses val="autoZero"/>
        <c:auto val="1"/>
        <c:lblAlgn val="ctr"/>
        <c:lblOffset val="100"/>
        <c:noMultiLvlLbl val="0"/>
      </c:catAx>
      <c:valAx>
        <c:axId val="32282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_ 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01814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360">
            <a:solidFill>
              <a:srgbClr val="878787"/>
            </a:solidFill>
            <a:round/>
          </a:ln>
        </c:spPr>
        <c:txPr>
          <a:bodyPr/>
          <a:lstStyle/>
          <a:p>
            <a:pPr rtl="0"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560">
      <a:solidFill>
        <a:srgbClr val="4F81BD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315000</xdr:colOff>
      <xdr:row>0</xdr:row>
      <xdr:rowOff>9360</xdr:rowOff>
    </xdr:from>
    <xdr:to>
      <xdr:col>26</xdr:col>
      <xdr:colOff>28800</xdr:colOff>
      <xdr:row>2</xdr:row>
      <xdr:rowOff>247320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8026920" y="9360"/>
          <a:ext cx="172116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63000</xdr:colOff>
      <xdr:row>28</xdr:row>
      <xdr:rowOff>172800</xdr:rowOff>
    </xdr:from>
    <xdr:to>
      <xdr:col>14</xdr:col>
      <xdr:colOff>648000</xdr:colOff>
      <xdr:row>45</xdr:row>
      <xdr:rowOff>95250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113400</xdr:colOff>
      <xdr:row>75</xdr:row>
      <xdr:rowOff>40680</xdr:rowOff>
    </xdr:from>
    <xdr:to>
      <xdr:col>14</xdr:col>
      <xdr:colOff>642240</xdr:colOff>
      <xdr:row>96</xdr:row>
      <xdr:rowOff>92880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100440</xdr:colOff>
      <xdr:row>0</xdr:row>
      <xdr:rowOff>69840</xdr:rowOff>
    </xdr:from>
    <xdr:to>
      <xdr:col>32</xdr:col>
      <xdr:colOff>290520</xdr:colOff>
      <xdr:row>17</xdr:row>
      <xdr:rowOff>110385</xdr:rowOff>
    </xdr:to>
    <xdr:graphicFrame macro="">
      <xdr:nvGraphicFramePr>
        <xdr:cNvPr id="3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92160</xdr:colOff>
      <xdr:row>20</xdr:row>
      <xdr:rowOff>5100</xdr:rowOff>
    </xdr:from>
    <xdr:to>
      <xdr:col>32</xdr:col>
      <xdr:colOff>242280</xdr:colOff>
      <xdr:row>36</xdr:row>
      <xdr:rowOff>180645</xdr:rowOff>
    </xdr:to>
    <xdr:graphicFrame macro="">
      <xdr:nvGraphicFramePr>
        <xdr:cNvPr id="4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NB%20&#49688;&#51077;%20&#44160;&#49324;%20&#54788;&#54889;2021-06-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8120;&#47000;%20ENG%20&#49688;&#51077;%20&#44160;&#49324;%20&#54788;&#54889;%202017-03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7700;&#53448;&#54057;&#53664;&#47532;%20&#49688;&#51077;%20&#44160;&#49324;%20&#54788;&#54889;2017-04-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51204;&#51652;&#47196;&#47553;%20&#49688;&#51077;%20&#44160;&#49324;%20&#54788;&#54889;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884;&#45824;&#51204;&#51088;%20&#49688;&#51077;%20&#44160;&#49324;%20&#54788;&#54889;%202017-09-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51068;&#55141;&#53580;&#53356;%20&#49688;&#51077;%20&#44160;&#49324;%20&#54788;&#54889;2021-09-3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T%20&#49884;&#45320;&#51648;&#53580;&#53356;%20&#49688;&#51077;&#44160;&#49324;%20&#54788;&#54889;2022-04-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52380;&#54840;&#44552;&#49549;%20&#49688;&#51077;&#44160;&#49324;%20&#54788;&#54889;2021-09-3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50976;&#45768;&#54532;&#47196;%20&#49688;&#51077;%20&#44160;&#49324;%20&#54788;&#54889;%202017-03-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MT%20&#49688;&#51077;%20&#44160;&#49324;%20&#54788;&#54889;%20&#50577;&#49885;%202023-08-0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44049;&#53581;%20&#49688;&#51077;%20&#44160;&#49324;%20&#54788;&#54889;%202017-05-2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888;&#54805;NUT%20&#49688;&#51077;%20&#44160;&#49324;%20&#54788;&#54889;2017-04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1000</v>
          </cell>
          <cell r="C3">
            <v>0</v>
          </cell>
          <cell r="D3">
            <v>5000</v>
          </cell>
          <cell r="E3">
            <v>5000</v>
          </cell>
          <cell r="F3">
            <v>2000</v>
          </cell>
          <cell r="G3">
            <v>0</v>
          </cell>
          <cell r="H3">
            <v>1000</v>
          </cell>
          <cell r="I3">
            <v>1000</v>
          </cell>
          <cell r="J3">
            <v>9000</v>
          </cell>
          <cell r="K3">
            <v>1000</v>
          </cell>
          <cell r="L3">
            <v>0</v>
          </cell>
          <cell r="M3">
            <v>2000</v>
          </cell>
        </row>
        <row r="6">
          <cell r="B6">
            <v>0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 t="str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0</v>
          </cell>
          <cell r="M6">
            <v>3.3333333333333335</v>
          </cell>
          <cell r="N6">
            <v>0.21551724137931033</v>
          </cell>
        </row>
        <row r="25">
          <cell r="B25">
            <v>2</v>
          </cell>
          <cell r="C25">
            <v>0</v>
          </cell>
          <cell r="D25">
            <v>6</v>
          </cell>
          <cell r="E25">
            <v>2</v>
          </cell>
          <cell r="F25">
            <v>2</v>
          </cell>
          <cell r="G25">
            <v>0</v>
          </cell>
          <cell r="H25">
            <v>2</v>
          </cell>
          <cell r="I25">
            <v>1</v>
          </cell>
          <cell r="J25">
            <v>6</v>
          </cell>
          <cell r="K25">
            <v>2</v>
          </cell>
          <cell r="L25">
            <v>0</v>
          </cell>
          <cell r="M25">
            <v>3</v>
          </cell>
        </row>
        <row r="28">
          <cell r="B28">
            <v>0</v>
          </cell>
          <cell r="C28" t="str">
            <v>0</v>
          </cell>
          <cell r="D28">
            <v>0</v>
          </cell>
          <cell r="E28">
            <v>0</v>
          </cell>
          <cell r="F28">
            <v>0</v>
          </cell>
          <cell r="G28" t="str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str">
            <v>0</v>
          </cell>
          <cell r="M28">
            <v>33.333333333333336</v>
          </cell>
          <cell r="N28">
            <v>3.8461538461538463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5772</v>
          </cell>
          <cell r="D3">
            <v>8438</v>
          </cell>
          <cell r="E3">
            <v>64000</v>
          </cell>
          <cell r="F3">
            <v>0</v>
          </cell>
          <cell r="G3">
            <v>6000</v>
          </cell>
          <cell r="H3">
            <v>0</v>
          </cell>
          <cell r="I3">
            <v>14200</v>
          </cell>
          <cell r="J3">
            <v>36440</v>
          </cell>
          <cell r="K3">
            <v>0</v>
          </cell>
          <cell r="L3">
            <v>0</v>
          </cell>
          <cell r="M3">
            <v>870</v>
          </cell>
        </row>
        <row r="6">
          <cell r="B6" t="str">
            <v>0</v>
          </cell>
          <cell r="C6">
            <v>0.65789473684210531</v>
          </cell>
          <cell r="D6">
            <v>0</v>
          </cell>
          <cell r="E6">
            <v>4.6728971962616823</v>
          </cell>
          <cell r="F6" t="str">
            <v>0</v>
          </cell>
          <cell r="G6">
            <v>0</v>
          </cell>
          <cell r="H6" t="str">
            <v>0</v>
          </cell>
          <cell r="I6">
            <v>0</v>
          </cell>
          <cell r="J6">
            <v>0</v>
          </cell>
          <cell r="K6" t="str">
            <v>0</v>
          </cell>
          <cell r="L6" t="str">
            <v>0</v>
          </cell>
          <cell r="M6">
            <v>0</v>
          </cell>
          <cell r="N6">
            <v>1.7931034482758619</v>
          </cell>
        </row>
        <row r="25">
          <cell r="B25">
            <v>0</v>
          </cell>
          <cell r="C25">
            <v>5</v>
          </cell>
          <cell r="D25">
            <v>5</v>
          </cell>
          <cell r="E25">
            <v>19</v>
          </cell>
          <cell r="F25">
            <v>0</v>
          </cell>
          <cell r="G25">
            <v>4</v>
          </cell>
          <cell r="H25">
            <v>0</v>
          </cell>
          <cell r="I25">
            <v>3</v>
          </cell>
          <cell r="J25">
            <v>14</v>
          </cell>
          <cell r="K25">
            <v>0</v>
          </cell>
          <cell r="L25">
            <v>0</v>
          </cell>
          <cell r="M25">
            <v>2</v>
          </cell>
        </row>
        <row r="28">
          <cell r="B28" t="str">
            <v>0</v>
          </cell>
          <cell r="C28">
            <v>20</v>
          </cell>
          <cell r="D28">
            <v>0</v>
          </cell>
          <cell r="E28">
            <v>5.2631578947368425</v>
          </cell>
          <cell r="F28" t="str">
            <v>0</v>
          </cell>
          <cell r="G28">
            <v>0</v>
          </cell>
          <cell r="H28" t="str">
            <v>0</v>
          </cell>
          <cell r="I28">
            <v>0</v>
          </cell>
          <cell r="J28">
            <v>0</v>
          </cell>
          <cell r="K28" t="str">
            <v>0</v>
          </cell>
          <cell r="L28" t="str">
            <v>0</v>
          </cell>
          <cell r="M28">
            <v>0</v>
          </cell>
          <cell r="N28">
            <v>3.8461538461538463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15939</v>
          </cell>
          <cell r="C3">
            <v>7360</v>
          </cell>
          <cell r="D3">
            <v>5020</v>
          </cell>
          <cell r="E3">
            <v>3000</v>
          </cell>
          <cell r="F3">
            <v>10000</v>
          </cell>
          <cell r="G3">
            <v>4000</v>
          </cell>
          <cell r="H3">
            <v>12000</v>
          </cell>
          <cell r="I3">
            <v>9000</v>
          </cell>
          <cell r="J3">
            <v>4020</v>
          </cell>
          <cell r="K3">
            <v>8162</v>
          </cell>
          <cell r="L3">
            <v>3097</v>
          </cell>
          <cell r="M3">
            <v>2810</v>
          </cell>
        </row>
        <row r="6">
          <cell r="B6">
            <v>0</v>
          </cell>
          <cell r="C6">
            <v>20</v>
          </cell>
          <cell r="D6">
            <v>69.230769230769226</v>
          </cell>
          <cell r="E6">
            <v>5</v>
          </cell>
          <cell r="F6">
            <v>0</v>
          </cell>
          <cell r="G6">
            <v>0</v>
          </cell>
          <cell r="H6">
            <v>5.6872037914691944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12.5</v>
          </cell>
          <cell r="N6">
            <v>7.5466594536110359</v>
          </cell>
        </row>
        <row r="25">
          <cell r="B25">
            <v>11</v>
          </cell>
          <cell r="C25">
            <v>5</v>
          </cell>
          <cell r="D25">
            <v>4</v>
          </cell>
          <cell r="E25">
            <v>2</v>
          </cell>
          <cell r="F25">
            <v>6</v>
          </cell>
          <cell r="G25">
            <v>2</v>
          </cell>
          <cell r="H25">
            <v>6</v>
          </cell>
          <cell r="I25">
            <v>7</v>
          </cell>
          <cell r="J25">
            <v>4</v>
          </cell>
          <cell r="K25">
            <v>10</v>
          </cell>
          <cell r="L25">
            <v>2</v>
          </cell>
          <cell r="M25">
            <v>5</v>
          </cell>
        </row>
        <row r="28">
          <cell r="B28">
            <v>0</v>
          </cell>
          <cell r="C28">
            <v>20</v>
          </cell>
          <cell r="D28">
            <v>0</v>
          </cell>
          <cell r="E28">
            <v>50</v>
          </cell>
          <cell r="F28">
            <v>0</v>
          </cell>
          <cell r="G28">
            <v>0</v>
          </cell>
          <cell r="H28">
            <v>16.666666666666668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20</v>
          </cell>
          <cell r="N28">
            <v>6.25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938</v>
          </cell>
          <cell r="C3">
            <v>0</v>
          </cell>
          <cell r="D3">
            <v>996</v>
          </cell>
          <cell r="E3">
            <v>0</v>
          </cell>
          <cell r="F3">
            <v>2000</v>
          </cell>
          <cell r="G3">
            <v>0</v>
          </cell>
          <cell r="H3">
            <v>2000</v>
          </cell>
          <cell r="I3">
            <v>1510</v>
          </cell>
          <cell r="J3">
            <v>500</v>
          </cell>
          <cell r="K3">
            <v>982</v>
          </cell>
          <cell r="L3">
            <v>0</v>
          </cell>
          <cell r="M3">
            <v>2491</v>
          </cell>
        </row>
        <row r="6">
          <cell r="B6">
            <v>0</v>
          </cell>
          <cell r="C6" t="str">
            <v>0</v>
          </cell>
          <cell r="D6">
            <v>0</v>
          </cell>
          <cell r="E6" t="str">
            <v>0</v>
          </cell>
          <cell r="F6">
            <v>0</v>
          </cell>
          <cell r="G6" t="str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0</v>
          </cell>
          <cell r="M6">
            <v>0</v>
          </cell>
          <cell r="N6">
            <v>0</v>
          </cell>
        </row>
        <row r="25">
          <cell r="B25">
            <v>2</v>
          </cell>
          <cell r="C25">
            <v>0</v>
          </cell>
          <cell r="D25">
            <v>2</v>
          </cell>
          <cell r="E25">
            <v>0</v>
          </cell>
          <cell r="F25">
            <v>1</v>
          </cell>
          <cell r="G25">
            <v>0</v>
          </cell>
          <cell r="H25">
            <v>1</v>
          </cell>
          <cell r="I25">
            <v>2</v>
          </cell>
          <cell r="J25">
            <v>1</v>
          </cell>
          <cell r="K25">
            <v>2</v>
          </cell>
          <cell r="L25">
            <v>0</v>
          </cell>
          <cell r="M25">
            <v>4</v>
          </cell>
        </row>
        <row r="28">
          <cell r="B28">
            <v>0</v>
          </cell>
          <cell r="C28" t="str">
            <v>0</v>
          </cell>
          <cell r="D28">
            <v>0</v>
          </cell>
          <cell r="E28" t="str">
            <v>0</v>
          </cell>
          <cell r="F28">
            <v>0</v>
          </cell>
          <cell r="G28" t="str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str">
            <v>0</v>
          </cell>
          <cell r="M28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0</v>
          </cell>
          <cell r="D3">
            <v>4000</v>
          </cell>
          <cell r="E3">
            <v>3260</v>
          </cell>
          <cell r="F3">
            <v>0</v>
          </cell>
          <cell r="G3">
            <v>0</v>
          </cell>
          <cell r="H3">
            <v>0</v>
          </cell>
          <cell r="J3">
            <v>3000</v>
          </cell>
          <cell r="K3">
            <v>500</v>
          </cell>
          <cell r="L3">
            <v>0</v>
          </cell>
          <cell r="M3">
            <v>0</v>
          </cell>
        </row>
        <row r="6">
          <cell r="B6" t="str">
            <v>0</v>
          </cell>
          <cell r="C6" t="str">
            <v>0</v>
          </cell>
          <cell r="D6">
            <v>0</v>
          </cell>
          <cell r="E6">
            <v>0</v>
          </cell>
          <cell r="F6" t="str">
            <v>0</v>
          </cell>
          <cell r="G6" t="str">
            <v>0</v>
          </cell>
          <cell r="H6" t="str">
            <v>0</v>
          </cell>
          <cell r="J6">
            <v>0</v>
          </cell>
          <cell r="K6">
            <v>0</v>
          </cell>
          <cell r="L6" t="str">
            <v>0</v>
          </cell>
          <cell r="M6" t="str">
            <v>0</v>
          </cell>
          <cell r="N6">
            <v>0</v>
          </cell>
        </row>
        <row r="25">
          <cell r="B25">
            <v>0</v>
          </cell>
          <cell r="C25">
            <v>0</v>
          </cell>
          <cell r="D25">
            <v>2</v>
          </cell>
          <cell r="E25">
            <v>3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</v>
          </cell>
          <cell r="K25">
            <v>1</v>
          </cell>
          <cell r="L25">
            <v>0</v>
          </cell>
          <cell r="M25">
            <v>0</v>
          </cell>
        </row>
        <row r="28">
          <cell r="B28" t="str">
            <v>0</v>
          </cell>
          <cell r="C28" t="str">
            <v>0</v>
          </cell>
          <cell r="D28">
            <v>0</v>
          </cell>
          <cell r="E28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>
            <v>0</v>
          </cell>
          <cell r="K28">
            <v>0</v>
          </cell>
          <cell r="L28" t="str">
            <v>0</v>
          </cell>
          <cell r="M28" t="str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0</v>
          </cell>
          <cell r="D3">
            <v>2500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1000</v>
          </cell>
          <cell r="M3">
            <v>0</v>
          </cell>
        </row>
        <row r="6">
          <cell r="B6" t="str">
            <v>0</v>
          </cell>
          <cell r="C6" t="str">
            <v>0</v>
          </cell>
          <cell r="D6">
            <v>20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>
            <v>0</v>
          </cell>
          <cell r="M6" t="str">
            <v>0</v>
          </cell>
          <cell r="N6">
            <v>14.285714285714286</v>
          </cell>
        </row>
        <row r="25">
          <cell r="B25">
            <v>0</v>
          </cell>
          <cell r="C25">
            <v>0</v>
          </cell>
          <cell r="D25">
            <v>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2</v>
          </cell>
          <cell r="M25">
            <v>0</v>
          </cell>
        </row>
        <row r="27">
          <cell r="D27">
            <v>1</v>
          </cell>
        </row>
        <row r="28">
          <cell r="B28" t="str">
            <v>0</v>
          </cell>
          <cell r="C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>
            <v>0</v>
          </cell>
          <cell r="M28" t="str">
            <v>0</v>
          </cell>
          <cell r="N28">
            <v>14.285714285714285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0</v>
          </cell>
          <cell r="D3">
            <v>0</v>
          </cell>
          <cell r="E3">
            <v>3820</v>
          </cell>
          <cell r="F3">
            <v>0</v>
          </cell>
          <cell r="G3">
            <v>2117</v>
          </cell>
          <cell r="H3">
            <v>1000</v>
          </cell>
          <cell r="I3">
            <v>0</v>
          </cell>
          <cell r="J3">
            <v>3000</v>
          </cell>
          <cell r="K3">
            <v>0</v>
          </cell>
          <cell r="L3">
            <v>0</v>
          </cell>
          <cell r="M3">
            <v>400</v>
          </cell>
        </row>
        <row r="6">
          <cell r="B6" t="str">
            <v>0</v>
          </cell>
          <cell r="C6" t="str">
            <v>0</v>
          </cell>
          <cell r="D6" t="str">
            <v>0</v>
          </cell>
          <cell r="E6">
            <v>1.6990291262135921</v>
          </cell>
          <cell r="F6" t="str">
            <v>0</v>
          </cell>
          <cell r="G6">
            <v>1.015228426395939</v>
          </cell>
          <cell r="H6">
            <v>0</v>
          </cell>
          <cell r="I6" t="str">
            <v>0</v>
          </cell>
          <cell r="J6">
            <v>0</v>
          </cell>
          <cell r="K6" t="str">
            <v>0</v>
          </cell>
          <cell r="L6" t="str">
            <v>0</v>
          </cell>
          <cell r="M6">
            <v>0</v>
          </cell>
          <cell r="N6">
            <v>1.0356731875719216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3</v>
          </cell>
          <cell r="F25">
            <v>0</v>
          </cell>
          <cell r="G25">
            <v>2</v>
          </cell>
          <cell r="H25">
            <v>1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  <cell r="M25">
            <v>1</v>
          </cell>
        </row>
        <row r="28">
          <cell r="B28" t="str">
            <v>0</v>
          </cell>
          <cell r="C28" t="str">
            <v>0</v>
          </cell>
          <cell r="D28" t="str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 t="str">
            <v>0</v>
          </cell>
          <cell r="J28">
            <v>0</v>
          </cell>
          <cell r="K28" t="str">
            <v>0</v>
          </cell>
          <cell r="L28" t="str">
            <v>0</v>
          </cell>
          <cell r="M28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2500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6">
          <cell r="B6">
            <v>0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>
            <v>0</v>
          </cell>
        </row>
        <row r="25">
          <cell r="B25">
            <v>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8">
          <cell r="B28">
            <v>0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50000</v>
          </cell>
          <cell r="C3">
            <v>152000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100000</v>
          </cell>
          <cell r="K3">
            <v>0</v>
          </cell>
          <cell r="L3">
            <v>0</v>
          </cell>
          <cell r="M3">
            <v>0</v>
          </cell>
          <cell r="N3">
            <v>302000</v>
          </cell>
        </row>
        <row r="6">
          <cell r="B6">
            <v>0</v>
          </cell>
          <cell r="C6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>
            <v>0</v>
          </cell>
          <cell r="K6" t="str">
            <v>0</v>
          </cell>
          <cell r="L6" t="str">
            <v>0</v>
          </cell>
          <cell r="M6" t="str">
            <v>0</v>
          </cell>
          <cell r="N6">
            <v>0</v>
          </cell>
        </row>
        <row r="25">
          <cell r="B25">
            <v>1</v>
          </cell>
          <cell r="C25">
            <v>2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5</v>
          </cell>
        </row>
        <row r="28">
          <cell r="B28">
            <v>0</v>
          </cell>
          <cell r="C28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17066</v>
          </cell>
          <cell r="D3">
            <v>3000</v>
          </cell>
          <cell r="E3">
            <v>0</v>
          </cell>
          <cell r="F3">
            <v>0</v>
          </cell>
          <cell r="G3">
            <v>0</v>
          </cell>
          <cell r="H3">
            <v>4000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6">
          <cell r="B6" t="str">
            <v>0</v>
          </cell>
          <cell r="C6">
            <v>0</v>
          </cell>
          <cell r="D6">
            <v>0</v>
          </cell>
          <cell r="E6" t="str">
            <v>0</v>
          </cell>
          <cell r="F6" t="str">
            <v>0</v>
          </cell>
          <cell r="G6" t="str">
            <v>0</v>
          </cell>
          <cell r="H6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>
            <v>0</v>
          </cell>
        </row>
        <row r="25">
          <cell r="B25">
            <v>0</v>
          </cell>
          <cell r="C25">
            <v>5</v>
          </cell>
          <cell r="D25">
            <v>1</v>
          </cell>
          <cell r="E25">
            <v>0</v>
          </cell>
          <cell r="F25">
            <v>0</v>
          </cell>
          <cell r="G25">
            <v>0</v>
          </cell>
          <cell r="H25">
            <v>2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8">
          <cell r="B28" t="str">
            <v>0</v>
          </cell>
          <cell r="C28">
            <v>0</v>
          </cell>
          <cell r="D28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28000</v>
          </cell>
          <cell r="K3">
            <v>0</v>
          </cell>
          <cell r="L3">
            <v>0</v>
          </cell>
          <cell r="M3">
            <v>0</v>
          </cell>
        </row>
        <row r="6">
          <cell r="B6" t="str">
            <v>0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>
            <v>0</v>
          </cell>
          <cell r="K6" t="str">
            <v>0</v>
          </cell>
          <cell r="L6" t="str">
            <v>0</v>
          </cell>
          <cell r="M6" t="str">
            <v>0</v>
          </cell>
          <cell r="N6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</v>
          </cell>
          <cell r="K25">
            <v>0</v>
          </cell>
          <cell r="L25">
            <v>0</v>
          </cell>
          <cell r="M25">
            <v>0</v>
          </cell>
        </row>
        <row r="28">
          <cell r="B28" t="str">
            <v>0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현황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자료"/>
    </sheetNames>
    <sheetDataSet>
      <sheetData sheetId="0"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500</v>
          </cell>
          <cell r="K3">
            <v>0</v>
          </cell>
          <cell r="L3">
            <v>2000</v>
          </cell>
          <cell r="M3">
            <v>0</v>
          </cell>
        </row>
        <row r="6">
          <cell r="B6" t="str">
            <v>0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>
            <v>12</v>
          </cell>
          <cell r="K6" t="str">
            <v>0</v>
          </cell>
          <cell r="L6">
            <v>0</v>
          </cell>
          <cell r="M6" t="str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2</v>
          </cell>
          <cell r="M25">
            <v>0</v>
          </cell>
        </row>
        <row r="28">
          <cell r="B28" t="str">
            <v>0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>
            <v>100</v>
          </cell>
          <cell r="K28" t="str">
            <v>0</v>
          </cell>
          <cell r="L28">
            <v>0</v>
          </cell>
          <cell r="M28" t="str">
            <v>0</v>
          </cell>
          <cell r="N28">
            <v>33.333333333333329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88"/>
  <sheetViews>
    <sheetView showGridLines="0" zoomScale="140" zoomScaleNormal="140" workbookViewId="0">
      <pane ySplit="6" topLeftCell="A11" activePane="bottomLeft" state="frozen"/>
      <selection pane="bottomLeft" activeCell="AA20" sqref="AA20"/>
    </sheetView>
  </sheetViews>
  <sheetFormatPr defaultColWidth="9" defaultRowHeight="12"/>
  <cols>
    <col min="1" max="1" width="4" style="1" customWidth="1"/>
    <col min="2" max="2" width="9.75" style="2" customWidth="1"/>
    <col min="3" max="3" width="9" style="3"/>
    <col min="4" max="4" width="11.25" style="4" customWidth="1"/>
    <col min="5" max="5" width="19.5" style="5" customWidth="1"/>
    <col min="6" max="6" width="10.875" style="5" customWidth="1"/>
    <col min="7" max="7" width="9" style="6" hidden="1"/>
    <col min="8" max="8" width="13.75" style="7" customWidth="1"/>
    <col min="9" max="9" width="6.5" style="1" customWidth="1"/>
    <col min="10" max="10" width="8" style="8" customWidth="1"/>
    <col min="11" max="11" width="6.375" style="8" hidden="1" customWidth="1"/>
    <col min="12" max="12" width="6.75" style="8" hidden="1" customWidth="1"/>
    <col min="13" max="22" width="4.625" style="8" hidden="1" customWidth="1"/>
    <col min="23" max="23" width="7.75" style="8" hidden="1" customWidth="1"/>
    <col min="24" max="24" width="7.75" style="8" customWidth="1"/>
    <col min="25" max="25" width="17.125" style="8" customWidth="1"/>
    <col min="26" max="16384" width="9" style="1"/>
  </cols>
  <sheetData>
    <row r="1" spans="1:25" s="13" customFormat="1" ht="24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1"/>
      <c r="W1" s="12"/>
      <c r="X1" s="12"/>
      <c r="Y1" s="12"/>
    </row>
    <row r="2" spans="1:25" s="15" customFormat="1" ht="24" customHeight="1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1"/>
      <c r="W2" s="14"/>
      <c r="X2" s="14"/>
      <c r="Y2" s="14"/>
    </row>
    <row r="3" spans="1:25" s="13" customFormat="1" ht="24" customHeight="1">
      <c r="A3" s="9"/>
      <c r="B3" s="10"/>
      <c r="C3" s="16" t="s">
        <v>0</v>
      </c>
      <c r="D3" s="17">
        <f>COUNTIF(X7:X182,"RE")/COUNTA(X7:X82)</f>
        <v>0</v>
      </c>
      <c r="E3" s="16" t="s">
        <v>1</v>
      </c>
      <c r="F3" s="18">
        <f>SUM(I7:I82)</f>
        <v>33</v>
      </c>
      <c r="G3" s="16" t="s">
        <v>2</v>
      </c>
      <c r="H3" s="19">
        <f>SUM(H7:H82)</f>
        <v>3</v>
      </c>
      <c r="I3" s="16" t="s">
        <v>3</v>
      </c>
      <c r="J3" s="18">
        <f>H3/F3*100</f>
        <v>9.0909090909090917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11"/>
      <c r="W3" s="12"/>
      <c r="X3" s="12"/>
      <c r="Y3" s="12"/>
    </row>
    <row r="4" spans="1:25" s="20" customFormat="1" ht="15.75" customHeight="1">
      <c r="A4" s="202" t="s">
        <v>4</v>
      </c>
      <c r="B4" s="203" t="s">
        <v>5</v>
      </c>
      <c r="C4" s="204" t="s">
        <v>6</v>
      </c>
      <c r="D4" s="205" t="s">
        <v>7</v>
      </c>
      <c r="E4" s="199" t="s">
        <v>8</v>
      </c>
      <c r="F4" s="199" t="s">
        <v>9</v>
      </c>
      <c r="G4" s="200" t="s">
        <v>10</v>
      </c>
      <c r="H4" s="201" t="s">
        <v>11</v>
      </c>
      <c r="I4" s="197" t="s">
        <v>12</v>
      </c>
      <c r="J4" s="197" t="s">
        <v>13</v>
      </c>
      <c r="K4" s="196" t="s">
        <v>14</v>
      </c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7" t="s">
        <v>15</v>
      </c>
      <c r="X4" s="197" t="s">
        <v>16</v>
      </c>
      <c r="Y4" s="198" t="s">
        <v>17</v>
      </c>
    </row>
    <row r="5" spans="1:25" s="20" customFormat="1" ht="15.75" customHeight="1">
      <c r="A5" s="202"/>
      <c r="B5" s="203"/>
      <c r="C5" s="204"/>
      <c r="D5" s="205"/>
      <c r="E5" s="199"/>
      <c r="F5" s="199"/>
      <c r="G5" s="200"/>
      <c r="H5" s="201"/>
      <c r="I5" s="197"/>
      <c r="J5" s="197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7"/>
      <c r="X5" s="197"/>
      <c r="Y5" s="198"/>
    </row>
    <row r="6" spans="1:25" s="20" customFormat="1" ht="29.25" customHeight="1">
      <c r="A6" s="202"/>
      <c r="B6" s="203"/>
      <c r="C6" s="204"/>
      <c r="D6" s="205"/>
      <c r="E6" s="199"/>
      <c r="F6" s="199"/>
      <c r="G6" s="200"/>
      <c r="H6" s="201"/>
      <c r="I6" s="197"/>
      <c r="J6" s="197"/>
      <c r="K6" s="21" t="s">
        <v>18</v>
      </c>
      <c r="L6" s="22" t="s">
        <v>19</v>
      </c>
      <c r="M6" s="23" t="s">
        <v>20</v>
      </c>
      <c r="N6" s="22" t="s">
        <v>21</v>
      </c>
      <c r="O6" s="23" t="s">
        <v>22</v>
      </c>
      <c r="P6" s="23" t="s">
        <v>23</v>
      </c>
      <c r="Q6" s="23" t="s">
        <v>24</v>
      </c>
      <c r="R6" s="22" t="s">
        <v>25</v>
      </c>
      <c r="S6" s="22" t="s">
        <v>26</v>
      </c>
      <c r="T6" s="23" t="s">
        <v>27</v>
      </c>
      <c r="U6" s="23" t="s">
        <v>28</v>
      </c>
      <c r="V6" s="24" t="s">
        <v>29</v>
      </c>
      <c r="W6" s="197"/>
      <c r="X6" s="197"/>
      <c r="Y6" s="198"/>
    </row>
    <row r="7" spans="1:25" s="41" customFormat="1" ht="15.75" customHeight="1">
      <c r="A7" s="25">
        <v>1</v>
      </c>
      <c r="B7" s="26">
        <v>45296</v>
      </c>
      <c r="C7" s="27" t="s">
        <v>30</v>
      </c>
      <c r="D7" s="28" t="s">
        <v>31</v>
      </c>
      <c r="E7" s="29" t="s">
        <v>32</v>
      </c>
      <c r="F7" s="30">
        <v>5</v>
      </c>
      <c r="G7" s="31"/>
      <c r="H7" s="32">
        <v>0</v>
      </c>
      <c r="I7" s="33">
        <v>5</v>
      </c>
      <c r="J7" s="34">
        <f t="shared" ref="J7:J38" si="0">IFERROR(H7/I7,"0")</f>
        <v>0</v>
      </c>
      <c r="K7" s="35"/>
      <c r="L7" s="36"/>
      <c r="M7" s="36"/>
      <c r="N7" s="36"/>
      <c r="O7" s="36"/>
      <c r="P7" s="36"/>
      <c r="Q7" s="36"/>
      <c r="R7" s="36"/>
      <c r="S7" s="36"/>
      <c r="T7" s="36"/>
      <c r="U7" s="36"/>
      <c r="V7" s="37"/>
      <c r="W7" s="38"/>
      <c r="X7" s="39" t="s">
        <v>33</v>
      </c>
      <c r="Y7" s="40"/>
    </row>
    <row r="8" spans="1:25" s="41" customFormat="1" ht="15.75" customHeight="1">
      <c r="A8" s="42">
        <v>2</v>
      </c>
      <c r="B8" s="43">
        <v>45300</v>
      </c>
      <c r="C8" s="44" t="s">
        <v>34</v>
      </c>
      <c r="D8" s="45" t="s">
        <v>31</v>
      </c>
      <c r="E8" s="46" t="s">
        <v>35</v>
      </c>
      <c r="F8" s="47">
        <v>2</v>
      </c>
      <c r="G8" s="48"/>
      <c r="H8" s="49">
        <v>0</v>
      </c>
      <c r="I8" s="50">
        <v>2</v>
      </c>
      <c r="J8" s="34">
        <f t="shared" si="0"/>
        <v>0</v>
      </c>
      <c r="K8" s="51"/>
      <c r="L8" s="52"/>
      <c r="M8" s="52"/>
      <c r="N8" s="52"/>
      <c r="O8" s="52"/>
      <c r="P8" s="52"/>
      <c r="Q8" s="52"/>
      <c r="R8" s="52"/>
      <c r="S8" s="52"/>
      <c r="T8" s="52"/>
      <c r="U8" s="52"/>
      <c r="V8" s="53"/>
      <c r="W8" s="54"/>
      <c r="X8" s="39" t="s">
        <v>33</v>
      </c>
      <c r="Y8" s="55"/>
    </row>
    <row r="9" spans="1:25" s="41" customFormat="1" ht="15.75" customHeight="1">
      <c r="A9" s="42">
        <v>3</v>
      </c>
      <c r="B9" s="56">
        <v>45324</v>
      </c>
      <c r="C9" s="57" t="s">
        <v>36</v>
      </c>
      <c r="D9" s="45" t="s">
        <v>31</v>
      </c>
      <c r="E9" s="46" t="s">
        <v>37</v>
      </c>
      <c r="F9" s="47">
        <v>1</v>
      </c>
      <c r="G9" s="48"/>
      <c r="H9" s="49">
        <v>0</v>
      </c>
      <c r="I9" s="50">
        <v>1</v>
      </c>
      <c r="J9" s="34">
        <f t="shared" si="0"/>
        <v>0</v>
      </c>
      <c r="K9" s="51"/>
      <c r="L9" s="52"/>
      <c r="M9" s="52"/>
      <c r="N9" s="52"/>
      <c r="O9" s="52"/>
      <c r="P9" s="52"/>
      <c r="Q9" s="52"/>
      <c r="R9" s="52"/>
      <c r="S9" s="52"/>
      <c r="T9" s="52"/>
      <c r="U9" s="52"/>
      <c r="V9" s="53"/>
      <c r="W9" s="54"/>
      <c r="X9" s="39" t="s">
        <v>33</v>
      </c>
      <c r="Y9" s="55"/>
    </row>
    <row r="10" spans="1:25" s="41" customFormat="1" ht="15.75" customHeight="1">
      <c r="A10" s="42">
        <v>4</v>
      </c>
      <c r="B10" s="43">
        <v>45327</v>
      </c>
      <c r="C10" s="44" t="s">
        <v>30</v>
      </c>
      <c r="D10" s="45" t="s">
        <v>31</v>
      </c>
      <c r="E10" s="46" t="s">
        <v>38</v>
      </c>
      <c r="F10" s="47">
        <v>3</v>
      </c>
      <c r="G10" s="48"/>
      <c r="H10" s="49">
        <v>2</v>
      </c>
      <c r="I10" s="50">
        <v>3</v>
      </c>
      <c r="J10" s="34">
        <f t="shared" si="0"/>
        <v>0.66666666666666663</v>
      </c>
      <c r="K10" s="51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3"/>
      <c r="W10" s="54"/>
      <c r="X10" s="39" t="s">
        <v>39</v>
      </c>
      <c r="Y10" s="55"/>
    </row>
    <row r="11" spans="1:25" s="41" customFormat="1" ht="15.75" customHeight="1">
      <c r="A11" s="42">
        <v>7</v>
      </c>
      <c r="B11" s="43">
        <v>45350</v>
      </c>
      <c r="C11" s="44" t="s">
        <v>36</v>
      </c>
      <c r="D11" s="45" t="s">
        <v>31</v>
      </c>
      <c r="E11" s="46" t="s">
        <v>40</v>
      </c>
      <c r="F11" s="47">
        <v>1</v>
      </c>
      <c r="G11" s="48"/>
      <c r="H11" s="49">
        <v>0</v>
      </c>
      <c r="I11" s="50">
        <v>1</v>
      </c>
      <c r="J11" s="34">
        <f t="shared" si="0"/>
        <v>0</v>
      </c>
      <c r="K11" s="51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3"/>
      <c r="W11" s="54"/>
      <c r="X11" s="39" t="s">
        <v>33</v>
      </c>
      <c r="Y11" s="55"/>
    </row>
    <row r="12" spans="1:25" s="41" customFormat="1" ht="15.75" customHeight="1">
      <c r="A12" s="42">
        <v>8</v>
      </c>
      <c r="B12" s="58">
        <v>45362</v>
      </c>
      <c r="C12" s="57" t="s">
        <v>34</v>
      </c>
      <c r="D12" s="45" t="s">
        <v>31</v>
      </c>
      <c r="E12" s="46" t="s">
        <v>41</v>
      </c>
      <c r="F12" s="47">
        <v>2</v>
      </c>
      <c r="G12" s="48"/>
      <c r="H12" s="49">
        <v>0</v>
      </c>
      <c r="I12" s="50">
        <v>2</v>
      </c>
      <c r="J12" s="34">
        <f t="shared" si="0"/>
        <v>0</v>
      </c>
      <c r="K12" s="51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3"/>
      <c r="W12" s="54"/>
      <c r="X12" s="39" t="s">
        <v>33</v>
      </c>
      <c r="Y12" s="55"/>
    </row>
    <row r="13" spans="1:25" s="41" customFormat="1" ht="15.75" customHeight="1">
      <c r="A13" s="42">
        <v>9</v>
      </c>
      <c r="B13" s="58">
        <v>45363</v>
      </c>
      <c r="C13" s="57" t="s">
        <v>34</v>
      </c>
      <c r="D13" s="45" t="s">
        <v>31</v>
      </c>
      <c r="E13" s="46" t="s">
        <v>42</v>
      </c>
      <c r="F13" s="47">
        <v>2</v>
      </c>
      <c r="G13" s="48"/>
      <c r="H13" s="49">
        <v>0</v>
      </c>
      <c r="I13" s="50">
        <v>2</v>
      </c>
      <c r="J13" s="34">
        <f t="shared" si="0"/>
        <v>0</v>
      </c>
      <c r="K13" s="51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3"/>
      <c r="W13" s="54"/>
      <c r="X13" s="39" t="s">
        <v>33</v>
      </c>
      <c r="Y13" s="55"/>
    </row>
    <row r="14" spans="1:25" s="41" customFormat="1" ht="15.75" customHeight="1">
      <c r="A14" s="42">
        <v>10</v>
      </c>
      <c r="B14" s="58">
        <v>45364</v>
      </c>
      <c r="C14" s="57" t="s">
        <v>34</v>
      </c>
      <c r="D14" s="45" t="s">
        <v>31</v>
      </c>
      <c r="E14" s="46" t="s">
        <v>43</v>
      </c>
      <c r="F14" s="47">
        <v>9</v>
      </c>
      <c r="G14" s="48"/>
      <c r="H14" s="49">
        <v>0</v>
      </c>
      <c r="I14" s="50">
        <v>9</v>
      </c>
      <c r="J14" s="34">
        <f t="shared" si="0"/>
        <v>0</v>
      </c>
      <c r="K14" s="51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3"/>
      <c r="W14" s="54"/>
      <c r="X14" s="39" t="s">
        <v>33</v>
      </c>
      <c r="Y14" s="55"/>
    </row>
    <row r="15" spans="1:25" s="41" customFormat="1" ht="15.75" customHeight="1">
      <c r="A15" s="42">
        <v>11</v>
      </c>
      <c r="B15" s="58">
        <v>45376</v>
      </c>
      <c r="C15" s="57" t="s">
        <v>30</v>
      </c>
      <c r="D15" s="45" t="s">
        <v>31</v>
      </c>
      <c r="E15" s="46" t="s">
        <v>44</v>
      </c>
      <c r="F15" s="47">
        <v>2</v>
      </c>
      <c r="G15" s="48"/>
      <c r="H15" s="49">
        <v>1</v>
      </c>
      <c r="I15" s="50">
        <v>2</v>
      </c>
      <c r="J15" s="34">
        <f t="shared" si="0"/>
        <v>0.5</v>
      </c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  <c r="W15" s="54"/>
      <c r="X15" s="39" t="s">
        <v>39</v>
      </c>
      <c r="Y15" s="55"/>
    </row>
    <row r="16" spans="1:25" s="41" customFormat="1" ht="15.75" customHeight="1">
      <c r="A16" s="42">
        <v>12</v>
      </c>
      <c r="B16" s="58">
        <v>45383</v>
      </c>
      <c r="C16" s="57" t="s">
        <v>30</v>
      </c>
      <c r="D16" s="45" t="s">
        <v>31</v>
      </c>
      <c r="E16" s="46" t="s">
        <v>45</v>
      </c>
      <c r="F16" s="47">
        <v>3</v>
      </c>
      <c r="G16" s="48"/>
      <c r="H16" s="49">
        <v>0</v>
      </c>
      <c r="I16" s="50">
        <v>3</v>
      </c>
      <c r="J16" s="34">
        <f t="shared" si="0"/>
        <v>0</v>
      </c>
      <c r="K16" s="51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3"/>
      <c r="W16" s="54"/>
      <c r="X16" s="39" t="s">
        <v>33</v>
      </c>
      <c r="Y16" s="55"/>
    </row>
    <row r="17" spans="1:25" s="41" customFormat="1" ht="15.75" customHeight="1">
      <c r="A17" s="42">
        <v>13</v>
      </c>
      <c r="B17" s="58">
        <v>45390</v>
      </c>
      <c r="C17" s="57" t="s">
        <v>34</v>
      </c>
      <c r="D17" s="45" t="s">
        <v>31</v>
      </c>
      <c r="E17" s="46" t="s">
        <v>46</v>
      </c>
      <c r="F17" s="47">
        <v>3</v>
      </c>
      <c r="G17" s="48"/>
      <c r="H17" s="49">
        <v>0</v>
      </c>
      <c r="I17" s="50">
        <v>3</v>
      </c>
      <c r="J17" s="34">
        <f t="shared" si="0"/>
        <v>0</v>
      </c>
      <c r="K17" s="51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/>
      <c r="W17" s="54"/>
      <c r="X17" s="39" t="s">
        <v>33</v>
      </c>
      <c r="Y17" s="55"/>
    </row>
    <row r="18" spans="1:25" s="41" customFormat="1" ht="15.75" customHeight="1">
      <c r="A18" s="42">
        <v>14</v>
      </c>
      <c r="B18" s="59"/>
      <c r="C18" s="57"/>
      <c r="D18" s="45"/>
      <c r="E18" s="46"/>
      <c r="F18" s="47"/>
      <c r="G18" s="48"/>
      <c r="H18" s="49"/>
      <c r="I18" s="50"/>
      <c r="J18" s="34" t="str">
        <f t="shared" si="0"/>
        <v>0</v>
      </c>
      <c r="K18" s="51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3"/>
      <c r="W18" s="54"/>
      <c r="X18" s="39"/>
      <c r="Y18" s="55"/>
    </row>
    <row r="19" spans="1:25" s="41" customFormat="1" ht="15.75" customHeight="1">
      <c r="A19" s="42">
        <v>15</v>
      </c>
      <c r="B19" s="59"/>
      <c r="C19" s="57"/>
      <c r="D19" s="45"/>
      <c r="E19" s="46"/>
      <c r="F19" s="47"/>
      <c r="G19" s="48"/>
      <c r="H19" s="49"/>
      <c r="I19" s="50"/>
      <c r="J19" s="34" t="str">
        <f t="shared" si="0"/>
        <v>0</v>
      </c>
      <c r="K19" s="51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/>
      <c r="W19" s="54"/>
      <c r="X19" s="39"/>
      <c r="Y19" s="55"/>
    </row>
    <row r="20" spans="1:25" s="41" customFormat="1" ht="15.75" customHeight="1">
      <c r="A20" s="42">
        <v>16</v>
      </c>
      <c r="B20" s="59"/>
      <c r="C20" s="57"/>
      <c r="D20" s="45"/>
      <c r="E20" s="46"/>
      <c r="F20" s="47"/>
      <c r="G20" s="48"/>
      <c r="H20" s="49"/>
      <c r="I20" s="50"/>
      <c r="J20" s="34" t="str">
        <f t="shared" si="0"/>
        <v>0</v>
      </c>
      <c r="K20" s="51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3"/>
      <c r="W20" s="54"/>
      <c r="X20" s="39"/>
      <c r="Y20" s="55"/>
    </row>
    <row r="21" spans="1:25" s="41" customFormat="1" ht="15.75" customHeight="1">
      <c r="A21" s="42">
        <v>17</v>
      </c>
      <c r="B21" s="59"/>
      <c r="C21" s="57"/>
      <c r="D21" s="45"/>
      <c r="E21" s="46"/>
      <c r="F21" s="47"/>
      <c r="G21" s="48"/>
      <c r="H21" s="49"/>
      <c r="I21" s="50"/>
      <c r="J21" s="34" t="str">
        <f t="shared" si="0"/>
        <v>0</v>
      </c>
      <c r="K21" s="51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  <c r="W21" s="54"/>
      <c r="X21" s="39"/>
      <c r="Y21" s="55"/>
    </row>
    <row r="22" spans="1:25" s="41" customFormat="1" ht="15.75" customHeight="1">
      <c r="A22" s="42">
        <v>18</v>
      </c>
      <c r="B22" s="59"/>
      <c r="C22" s="57"/>
      <c r="D22" s="45"/>
      <c r="E22" s="46"/>
      <c r="F22" s="47"/>
      <c r="G22" s="48"/>
      <c r="H22" s="49"/>
      <c r="I22" s="50"/>
      <c r="J22" s="34" t="str">
        <f t="shared" si="0"/>
        <v>0</v>
      </c>
      <c r="K22" s="51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3"/>
      <c r="W22" s="54"/>
      <c r="X22" s="39"/>
      <c r="Y22" s="55"/>
    </row>
    <row r="23" spans="1:25" s="41" customFormat="1" ht="15.75" customHeight="1">
      <c r="A23" s="42">
        <v>19</v>
      </c>
      <c r="B23" s="59"/>
      <c r="C23" s="57"/>
      <c r="D23" s="45"/>
      <c r="E23" s="46"/>
      <c r="F23" s="47"/>
      <c r="G23" s="48"/>
      <c r="H23" s="49"/>
      <c r="I23" s="50"/>
      <c r="J23" s="34" t="str">
        <f t="shared" si="0"/>
        <v>0</v>
      </c>
      <c r="K23" s="51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  <c r="W23" s="54"/>
      <c r="X23" s="39"/>
      <c r="Y23" s="55"/>
    </row>
    <row r="24" spans="1:25" s="41" customFormat="1" ht="15.75" customHeight="1">
      <c r="A24" s="42">
        <v>20</v>
      </c>
      <c r="B24" s="59"/>
      <c r="C24" s="57"/>
      <c r="D24" s="45"/>
      <c r="E24" s="46"/>
      <c r="F24" s="47"/>
      <c r="G24" s="48"/>
      <c r="H24" s="49"/>
      <c r="I24" s="50"/>
      <c r="J24" s="34" t="str">
        <f t="shared" si="0"/>
        <v>0</v>
      </c>
      <c r="K24" s="51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3"/>
      <c r="W24" s="54"/>
      <c r="X24" s="39"/>
      <c r="Y24" s="55"/>
    </row>
    <row r="25" spans="1:25" s="41" customFormat="1" ht="15.75" customHeight="1">
      <c r="A25" s="42">
        <v>21</v>
      </c>
      <c r="B25" s="59"/>
      <c r="C25" s="57"/>
      <c r="D25" s="45"/>
      <c r="E25" s="46"/>
      <c r="F25" s="47"/>
      <c r="G25" s="48"/>
      <c r="H25" s="49"/>
      <c r="I25" s="50"/>
      <c r="J25" s="34" t="str">
        <f t="shared" si="0"/>
        <v>0</v>
      </c>
      <c r="K25" s="51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3"/>
      <c r="W25" s="54"/>
      <c r="X25" s="39"/>
      <c r="Y25" s="55"/>
    </row>
    <row r="26" spans="1:25" s="41" customFormat="1" ht="15.75" customHeight="1">
      <c r="A26" s="42">
        <v>22</v>
      </c>
      <c r="B26" s="59"/>
      <c r="C26" s="57"/>
      <c r="D26" s="45"/>
      <c r="E26" s="46"/>
      <c r="F26" s="52"/>
      <c r="G26" s="60"/>
      <c r="H26" s="49"/>
      <c r="I26" s="50"/>
      <c r="J26" s="34" t="str">
        <f t="shared" si="0"/>
        <v>0</v>
      </c>
      <c r="K26" s="51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3"/>
      <c r="W26" s="54"/>
      <c r="X26" s="39"/>
      <c r="Y26" s="55"/>
    </row>
    <row r="27" spans="1:25" s="41" customFormat="1" ht="15.75" customHeight="1">
      <c r="A27" s="42">
        <v>23</v>
      </c>
      <c r="B27" s="61"/>
      <c r="C27" s="46"/>
      <c r="D27" s="45"/>
      <c r="E27" s="46"/>
      <c r="F27" s="52"/>
      <c r="G27" s="60"/>
      <c r="H27" s="49"/>
      <c r="I27" s="50"/>
      <c r="J27" s="34" t="str">
        <f t="shared" si="0"/>
        <v>0</v>
      </c>
      <c r="K27" s="51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  <c r="W27" s="54"/>
      <c r="X27" s="39"/>
      <c r="Y27" s="55"/>
    </row>
    <row r="28" spans="1:25" s="41" customFormat="1" ht="15.75" customHeight="1">
      <c r="A28" s="42">
        <v>24</v>
      </c>
      <c r="B28" s="61"/>
      <c r="C28" s="46"/>
      <c r="D28" s="45"/>
      <c r="E28" s="46"/>
      <c r="F28" s="52"/>
      <c r="G28" s="60"/>
      <c r="H28" s="49"/>
      <c r="I28" s="50"/>
      <c r="J28" s="34" t="str">
        <f t="shared" si="0"/>
        <v>0</v>
      </c>
      <c r="K28" s="51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3"/>
      <c r="W28" s="54"/>
      <c r="X28" s="39"/>
      <c r="Y28" s="55"/>
    </row>
    <row r="29" spans="1:25" s="41" customFormat="1" ht="15.75" customHeight="1">
      <c r="A29" s="42">
        <v>25</v>
      </c>
      <c r="B29" s="61"/>
      <c r="C29" s="46"/>
      <c r="D29" s="45"/>
      <c r="E29" s="46"/>
      <c r="F29" s="52"/>
      <c r="G29" s="60"/>
      <c r="H29" s="49"/>
      <c r="I29" s="50"/>
      <c r="J29" s="34" t="str">
        <f t="shared" si="0"/>
        <v>0</v>
      </c>
      <c r="K29" s="51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  <c r="W29" s="54"/>
      <c r="X29" s="39"/>
      <c r="Y29" s="55"/>
    </row>
    <row r="30" spans="1:25" s="41" customFormat="1" ht="15.75" customHeight="1">
      <c r="A30" s="42">
        <v>26</v>
      </c>
      <c r="B30" s="61"/>
      <c r="C30" s="46"/>
      <c r="D30" s="45"/>
      <c r="E30" s="46"/>
      <c r="F30" s="52"/>
      <c r="G30" s="60"/>
      <c r="H30" s="49"/>
      <c r="I30" s="50"/>
      <c r="J30" s="34" t="str">
        <f t="shared" si="0"/>
        <v>0</v>
      </c>
      <c r="K30" s="51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3"/>
      <c r="W30" s="54"/>
      <c r="X30" s="39"/>
      <c r="Y30" s="55"/>
    </row>
    <row r="31" spans="1:25" s="41" customFormat="1" ht="15.75" customHeight="1">
      <c r="A31" s="42">
        <v>27</v>
      </c>
      <c r="B31" s="62"/>
      <c r="C31" s="46"/>
      <c r="D31" s="45"/>
      <c r="E31" s="46"/>
      <c r="F31" s="47"/>
      <c r="G31" s="48"/>
      <c r="H31" s="49"/>
      <c r="I31" s="50"/>
      <c r="J31" s="34" t="str">
        <f t="shared" si="0"/>
        <v>0</v>
      </c>
      <c r="K31" s="51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/>
      <c r="W31" s="54"/>
      <c r="X31" s="39"/>
      <c r="Y31" s="55"/>
    </row>
    <row r="32" spans="1:25" s="41" customFormat="1" ht="15.75" customHeight="1">
      <c r="A32" s="42">
        <v>28</v>
      </c>
      <c r="B32" s="62"/>
      <c r="C32" s="46"/>
      <c r="D32" s="45"/>
      <c r="E32" s="46"/>
      <c r="F32" s="47"/>
      <c r="G32" s="48"/>
      <c r="H32" s="49"/>
      <c r="I32" s="50"/>
      <c r="J32" s="34" t="str">
        <f t="shared" si="0"/>
        <v>0</v>
      </c>
      <c r="K32" s="51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3"/>
      <c r="W32" s="54"/>
      <c r="X32" s="39"/>
      <c r="Y32" s="55"/>
    </row>
    <row r="33" spans="1:25" s="41" customFormat="1" ht="15.75" customHeight="1">
      <c r="A33" s="42">
        <v>29</v>
      </c>
      <c r="B33" s="62"/>
      <c r="C33" s="46"/>
      <c r="D33" s="45"/>
      <c r="E33" s="46"/>
      <c r="F33" s="47"/>
      <c r="G33" s="48"/>
      <c r="H33" s="49"/>
      <c r="I33" s="50"/>
      <c r="J33" s="34" t="str">
        <f t="shared" si="0"/>
        <v>0</v>
      </c>
      <c r="K33" s="51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  <c r="W33" s="54"/>
      <c r="X33" s="39"/>
      <c r="Y33" s="55"/>
    </row>
    <row r="34" spans="1:25" s="41" customFormat="1" ht="15.75" customHeight="1">
      <c r="A34" s="42">
        <v>30</v>
      </c>
      <c r="B34" s="62"/>
      <c r="C34" s="46"/>
      <c r="D34" s="45"/>
      <c r="E34" s="46"/>
      <c r="F34" s="47"/>
      <c r="G34" s="48"/>
      <c r="H34" s="49"/>
      <c r="I34" s="50"/>
      <c r="J34" s="34" t="str">
        <f t="shared" si="0"/>
        <v>0</v>
      </c>
      <c r="K34" s="51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3"/>
      <c r="W34" s="54"/>
      <c r="X34" s="39"/>
      <c r="Y34" s="55"/>
    </row>
    <row r="35" spans="1:25" s="41" customFormat="1" ht="15.75" customHeight="1">
      <c r="A35" s="42">
        <v>31</v>
      </c>
      <c r="B35" s="62"/>
      <c r="C35" s="46"/>
      <c r="D35" s="45"/>
      <c r="E35" s="46"/>
      <c r="F35" s="47"/>
      <c r="G35" s="48"/>
      <c r="H35" s="49"/>
      <c r="I35" s="50"/>
      <c r="J35" s="34" t="str">
        <f t="shared" si="0"/>
        <v>0</v>
      </c>
      <c r="K35" s="51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  <c r="W35" s="54"/>
      <c r="X35" s="39"/>
      <c r="Y35" s="55"/>
    </row>
    <row r="36" spans="1:25" s="41" customFormat="1" ht="15.75" customHeight="1">
      <c r="A36" s="42">
        <v>32</v>
      </c>
      <c r="B36" s="62"/>
      <c r="C36" s="46"/>
      <c r="D36" s="45"/>
      <c r="E36" s="46"/>
      <c r="F36" s="47"/>
      <c r="G36" s="48"/>
      <c r="H36" s="49"/>
      <c r="I36" s="50"/>
      <c r="J36" s="34" t="str">
        <f t="shared" si="0"/>
        <v>0</v>
      </c>
      <c r="K36" s="51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3"/>
      <c r="W36" s="54"/>
      <c r="X36" s="39"/>
      <c r="Y36" s="55"/>
    </row>
    <row r="37" spans="1:25" s="41" customFormat="1" ht="15.75" customHeight="1">
      <c r="A37" s="42">
        <v>33</v>
      </c>
      <c r="B37" s="62"/>
      <c r="C37" s="46"/>
      <c r="D37" s="45"/>
      <c r="E37" s="46"/>
      <c r="F37" s="47"/>
      <c r="G37" s="48"/>
      <c r="H37" s="49"/>
      <c r="I37" s="50"/>
      <c r="J37" s="34" t="str">
        <f t="shared" si="0"/>
        <v>0</v>
      </c>
      <c r="K37" s="51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/>
      <c r="W37" s="54"/>
      <c r="X37" s="39"/>
      <c r="Y37" s="55"/>
    </row>
    <row r="38" spans="1:25" s="41" customFormat="1" ht="15.75" customHeight="1">
      <c r="A38" s="42">
        <v>34</v>
      </c>
      <c r="B38" s="62"/>
      <c r="C38" s="46"/>
      <c r="D38" s="45"/>
      <c r="E38" s="46"/>
      <c r="F38" s="47"/>
      <c r="G38" s="48"/>
      <c r="H38" s="49"/>
      <c r="I38" s="50"/>
      <c r="J38" s="34" t="str">
        <f t="shared" si="0"/>
        <v>0</v>
      </c>
      <c r="K38" s="51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3"/>
      <c r="W38" s="54"/>
      <c r="X38" s="39"/>
      <c r="Y38" s="55"/>
    </row>
    <row r="39" spans="1:25" s="41" customFormat="1" ht="15.75" customHeight="1">
      <c r="A39" s="42">
        <v>35</v>
      </c>
      <c r="B39" s="62"/>
      <c r="C39" s="46"/>
      <c r="D39" s="45"/>
      <c r="E39" s="46"/>
      <c r="F39" s="47"/>
      <c r="G39" s="48"/>
      <c r="H39" s="49"/>
      <c r="I39" s="50"/>
      <c r="J39" s="34" t="str">
        <f t="shared" ref="J39:J70" si="1">IFERROR(H39/I39,"0")</f>
        <v>0</v>
      </c>
      <c r="K39" s="51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 s="54"/>
      <c r="X39" s="39"/>
      <c r="Y39" s="55"/>
    </row>
    <row r="40" spans="1:25" s="41" customFormat="1" ht="15.75" customHeight="1">
      <c r="A40" s="42">
        <v>36</v>
      </c>
      <c r="B40" s="62"/>
      <c r="C40" s="46"/>
      <c r="D40" s="45"/>
      <c r="E40" s="46"/>
      <c r="F40" s="47"/>
      <c r="G40" s="48"/>
      <c r="H40" s="49"/>
      <c r="I40" s="50"/>
      <c r="J40" s="34" t="str">
        <f t="shared" si="1"/>
        <v>0</v>
      </c>
      <c r="K40" s="51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3"/>
      <c r="W40" s="54"/>
      <c r="X40" s="39"/>
      <c r="Y40" s="55"/>
    </row>
    <row r="41" spans="1:25" s="41" customFormat="1" ht="15.75" customHeight="1">
      <c r="A41" s="42">
        <v>37</v>
      </c>
      <c r="B41" s="62"/>
      <c r="C41" s="46"/>
      <c r="D41" s="45"/>
      <c r="E41" s="46"/>
      <c r="F41" s="47"/>
      <c r="G41" s="48"/>
      <c r="H41" s="49"/>
      <c r="I41" s="50"/>
      <c r="J41" s="34" t="str">
        <f t="shared" si="1"/>
        <v>0</v>
      </c>
      <c r="K41" s="51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3"/>
      <c r="W41" s="54"/>
      <c r="X41" s="39"/>
      <c r="Y41" s="55"/>
    </row>
    <row r="42" spans="1:25" s="41" customFormat="1" ht="15.75" customHeight="1">
      <c r="A42" s="42">
        <v>38</v>
      </c>
      <c r="B42" s="62"/>
      <c r="C42" s="46"/>
      <c r="D42" s="45"/>
      <c r="E42" s="46"/>
      <c r="F42" s="47"/>
      <c r="G42" s="48"/>
      <c r="H42" s="49"/>
      <c r="I42" s="50"/>
      <c r="J42" s="34" t="str">
        <f t="shared" si="1"/>
        <v>0</v>
      </c>
      <c r="K42" s="51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3"/>
      <c r="W42" s="54"/>
      <c r="X42" s="39"/>
      <c r="Y42" s="55"/>
    </row>
    <row r="43" spans="1:25" s="41" customFormat="1" ht="15.75" customHeight="1">
      <c r="A43" s="42">
        <v>39</v>
      </c>
      <c r="B43" s="62"/>
      <c r="C43" s="46"/>
      <c r="D43" s="45"/>
      <c r="E43" s="46"/>
      <c r="F43" s="47"/>
      <c r="G43" s="48"/>
      <c r="H43" s="49"/>
      <c r="I43" s="50"/>
      <c r="J43" s="34" t="str">
        <f t="shared" si="1"/>
        <v>0</v>
      </c>
      <c r="K43" s="51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3"/>
      <c r="W43" s="54"/>
      <c r="X43" s="39"/>
      <c r="Y43" s="55"/>
    </row>
    <row r="44" spans="1:25" s="41" customFormat="1" ht="15.75" customHeight="1">
      <c r="A44" s="42">
        <v>40</v>
      </c>
      <c r="B44" s="62"/>
      <c r="C44" s="46"/>
      <c r="D44" s="45"/>
      <c r="E44" s="46"/>
      <c r="F44" s="47"/>
      <c r="G44" s="48"/>
      <c r="H44" s="49"/>
      <c r="I44" s="50"/>
      <c r="J44" s="34" t="str">
        <f t="shared" si="1"/>
        <v>0</v>
      </c>
      <c r="K44" s="51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3"/>
      <c r="W44" s="54"/>
      <c r="X44" s="39"/>
      <c r="Y44" s="55"/>
    </row>
    <row r="45" spans="1:25" s="41" customFormat="1" ht="15.75" customHeight="1">
      <c r="A45" s="42">
        <v>41</v>
      </c>
      <c r="B45" s="62"/>
      <c r="C45" s="46"/>
      <c r="D45" s="45"/>
      <c r="E45" s="46"/>
      <c r="F45" s="47"/>
      <c r="G45" s="48"/>
      <c r="H45" s="49"/>
      <c r="I45" s="50"/>
      <c r="J45" s="34" t="str">
        <f t="shared" si="1"/>
        <v>0</v>
      </c>
      <c r="K45" s="51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3"/>
      <c r="W45" s="54"/>
      <c r="X45" s="39"/>
      <c r="Y45" s="55"/>
    </row>
    <row r="46" spans="1:25" s="41" customFormat="1" ht="15.75" customHeight="1">
      <c r="A46" s="42">
        <v>42</v>
      </c>
      <c r="B46" s="62"/>
      <c r="C46" s="46"/>
      <c r="D46" s="45"/>
      <c r="E46" s="46"/>
      <c r="F46" s="47"/>
      <c r="G46" s="48"/>
      <c r="H46" s="49"/>
      <c r="I46" s="50"/>
      <c r="J46" s="34" t="str">
        <f t="shared" si="1"/>
        <v>0</v>
      </c>
      <c r="K46" s="51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3"/>
      <c r="W46" s="54"/>
      <c r="X46" s="39"/>
      <c r="Y46" s="55"/>
    </row>
    <row r="47" spans="1:25" s="41" customFormat="1" ht="15.75" customHeight="1">
      <c r="A47" s="42">
        <v>43</v>
      </c>
      <c r="B47" s="62"/>
      <c r="C47" s="46"/>
      <c r="D47" s="45"/>
      <c r="E47" s="46"/>
      <c r="F47" s="47"/>
      <c r="G47" s="48"/>
      <c r="H47" s="49"/>
      <c r="I47" s="50"/>
      <c r="J47" s="34" t="str">
        <f t="shared" si="1"/>
        <v>0</v>
      </c>
      <c r="K47" s="51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3"/>
      <c r="W47" s="54"/>
      <c r="X47" s="39"/>
      <c r="Y47" s="55"/>
    </row>
    <row r="48" spans="1:25" s="41" customFormat="1" ht="15.75" customHeight="1">
      <c r="A48" s="42">
        <v>44</v>
      </c>
      <c r="B48" s="62"/>
      <c r="C48" s="46"/>
      <c r="D48" s="45"/>
      <c r="E48" s="46"/>
      <c r="F48" s="47"/>
      <c r="G48" s="48"/>
      <c r="H48" s="49"/>
      <c r="I48" s="50"/>
      <c r="J48" s="34" t="str">
        <f t="shared" si="1"/>
        <v>0</v>
      </c>
      <c r="K48" s="51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3"/>
      <c r="W48" s="54"/>
      <c r="X48" s="39"/>
      <c r="Y48" s="55"/>
    </row>
    <row r="49" spans="1:25" s="41" customFormat="1" ht="15.75" customHeight="1">
      <c r="A49" s="42">
        <v>45</v>
      </c>
      <c r="B49" s="62"/>
      <c r="C49" s="46"/>
      <c r="D49" s="45"/>
      <c r="E49" s="46"/>
      <c r="F49" s="47"/>
      <c r="G49" s="48"/>
      <c r="H49" s="49"/>
      <c r="I49" s="50"/>
      <c r="J49" s="34" t="str">
        <f t="shared" si="1"/>
        <v>0</v>
      </c>
      <c r="K49" s="51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3"/>
      <c r="W49" s="54"/>
      <c r="X49" s="39"/>
      <c r="Y49" s="55"/>
    </row>
    <row r="50" spans="1:25" s="41" customFormat="1" ht="15.75" customHeight="1">
      <c r="A50" s="42">
        <v>46</v>
      </c>
      <c r="B50" s="62"/>
      <c r="C50" s="46"/>
      <c r="D50" s="45"/>
      <c r="E50" s="46"/>
      <c r="F50" s="47"/>
      <c r="G50" s="48"/>
      <c r="H50" s="49"/>
      <c r="I50" s="50"/>
      <c r="J50" s="34" t="str">
        <f t="shared" si="1"/>
        <v>0</v>
      </c>
      <c r="K50" s="51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3"/>
      <c r="W50" s="54"/>
      <c r="X50" s="39"/>
      <c r="Y50" s="55"/>
    </row>
    <row r="51" spans="1:25" s="41" customFormat="1" ht="15.75" customHeight="1">
      <c r="A51" s="42">
        <v>47</v>
      </c>
      <c r="B51" s="62"/>
      <c r="C51" s="46"/>
      <c r="D51" s="45"/>
      <c r="E51" s="46"/>
      <c r="F51" s="47"/>
      <c r="G51" s="48"/>
      <c r="H51" s="49"/>
      <c r="I51" s="50"/>
      <c r="J51" s="34" t="str">
        <f t="shared" si="1"/>
        <v>0</v>
      </c>
      <c r="K51" s="51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  <c r="W51" s="54"/>
      <c r="X51" s="39"/>
      <c r="Y51" s="55"/>
    </row>
    <row r="52" spans="1:25" s="41" customFormat="1" ht="15.75" customHeight="1">
      <c r="A52" s="42">
        <v>48</v>
      </c>
      <c r="B52" s="62"/>
      <c r="C52" s="46"/>
      <c r="D52" s="45"/>
      <c r="E52" s="46"/>
      <c r="F52" s="47"/>
      <c r="G52" s="48"/>
      <c r="H52" s="49"/>
      <c r="I52" s="50"/>
      <c r="J52" s="34" t="str">
        <f t="shared" si="1"/>
        <v>0</v>
      </c>
      <c r="K52" s="51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3"/>
      <c r="W52" s="54"/>
      <c r="X52" s="39"/>
      <c r="Y52" s="55"/>
    </row>
    <row r="53" spans="1:25" s="41" customFormat="1" ht="15.75" customHeight="1">
      <c r="A53" s="42">
        <v>49</v>
      </c>
      <c r="B53" s="62"/>
      <c r="C53" s="46"/>
      <c r="D53" s="45"/>
      <c r="E53" s="46"/>
      <c r="F53" s="47"/>
      <c r="G53" s="48"/>
      <c r="H53" s="49"/>
      <c r="I53" s="50"/>
      <c r="J53" s="34" t="str">
        <f t="shared" si="1"/>
        <v>0</v>
      </c>
      <c r="K53" s="51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3"/>
      <c r="W53" s="54"/>
      <c r="X53" s="39"/>
      <c r="Y53" s="55"/>
    </row>
    <row r="54" spans="1:25" s="41" customFormat="1" ht="15.75" customHeight="1">
      <c r="A54" s="42">
        <v>50</v>
      </c>
      <c r="B54" s="62"/>
      <c r="C54" s="46"/>
      <c r="D54" s="45"/>
      <c r="E54" s="46"/>
      <c r="F54" s="47"/>
      <c r="G54" s="48"/>
      <c r="H54" s="49"/>
      <c r="I54" s="50"/>
      <c r="J54" s="34" t="str">
        <f t="shared" si="1"/>
        <v>0</v>
      </c>
      <c r="K54" s="51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3"/>
      <c r="W54" s="54"/>
      <c r="X54" s="39"/>
      <c r="Y54" s="55"/>
    </row>
    <row r="55" spans="1:25" s="41" customFormat="1" ht="15.75" customHeight="1">
      <c r="A55" s="42">
        <v>51</v>
      </c>
      <c r="B55" s="62"/>
      <c r="C55" s="46"/>
      <c r="D55" s="45"/>
      <c r="E55" s="46"/>
      <c r="F55" s="47"/>
      <c r="G55" s="48"/>
      <c r="H55" s="49"/>
      <c r="I55" s="50"/>
      <c r="J55" s="34" t="str">
        <f t="shared" si="1"/>
        <v>0</v>
      </c>
      <c r="K55" s="51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3"/>
      <c r="W55" s="54"/>
      <c r="X55" s="39"/>
      <c r="Y55" s="55"/>
    </row>
    <row r="56" spans="1:25" s="41" customFormat="1" ht="15.75" customHeight="1">
      <c r="A56" s="42">
        <v>52</v>
      </c>
      <c r="B56" s="62"/>
      <c r="C56" s="46"/>
      <c r="D56" s="45"/>
      <c r="E56" s="46"/>
      <c r="F56" s="47"/>
      <c r="G56" s="48"/>
      <c r="H56" s="49"/>
      <c r="I56" s="50"/>
      <c r="J56" s="34" t="str">
        <f t="shared" si="1"/>
        <v>0</v>
      </c>
      <c r="K56" s="51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3"/>
      <c r="W56" s="54"/>
      <c r="X56" s="39"/>
      <c r="Y56" s="55"/>
    </row>
    <row r="57" spans="1:25" s="41" customFormat="1" ht="15.75" customHeight="1">
      <c r="A57" s="42">
        <v>53</v>
      </c>
      <c r="B57" s="62"/>
      <c r="C57" s="46"/>
      <c r="D57" s="45"/>
      <c r="E57" s="46"/>
      <c r="F57" s="47"/>
      <c r="G57" s="48"/>
      <c r="H57" s="49"/>
      <c r="I57" s="50"/>
      <c r="J57" s="34" t="str">
        <f t="shared" si="1"/>
        <v>0</v>
      </c>
      <c r="K57" s="51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3"/>
      <c r="W57" s="54"/>
      <c r="X57" s="39"/>
      <c r="Y57" s="55"/>
    </row>
    <row r="58" spans="1:25" s="41" customFormat="1" ht="15.75" customHeight="1">
      <c r="A58" s="42">
        <v>54</v>
      </c>
      <c r="B58" s="62"/>
      <c r="C58" s="46"/>
      <c r="D58" s="45"/>
      <c r="E58" s="46"/>
      <c r="F58" s="47"/>
      <c r="G58" s="48"/>
      <c r="H58" s="49"/>
      <c r="I58" s="50"/>
      <c r="J58" s="34" t="str">
        <f t="shared" si="1"/>
        <v>0</v>
      </c>
      <c r="K58" s="51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3"/>
      <c r="W58" s="54"/>
      <c r="X58" s="39"/>
      <c r="Y58" s="55"/>
    </row>
    <row r="59" spans="1:25" s="41" customFormat="1" ht="15.75" customHeight="1">
      <c r="A59" s="42">
        <v>55</v>
      </c>
      <c r="B59" s="62"/>
      <c r="C59" s="46"/>
      <c r="D59" s="45"/>
      <c r="E59" s="46"/>
      <c r="F59" s="47"/>
      <c r="G59" s="48"/>
      <c r="H59" s="49"/>
      <c r="I59" s="50"/>
      <c r="J59" s="34" t="str">
        <f t="shared" si="1"/>
        <v>0</v>
      </c>
      <c r="K59" s="51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3"/>
      <c r="W59" s="54"/>
      <c r="X59" s="39"/>
      <c r="Y59" s="55"/>
    </row>
    <row r="60" spans="1:25" s="41" customFormat="1" ht="15.75" customHeight="1">
      <c r="A60" s="42">
        <v>56</v>
      </c>
      <c r="B60" s="62"/>
      <c r="C60" s="46"/>
      <c r="D60" s="45"/>
      <c r="E60" s="46"/>
      <c r="F60" s="47"/>
      <c r="G60" s="48"/>
      <c r="H60" s="49"/>
      <c r="I60" s="50"/>
      <c r="J60" s="34" t="str">
        <f t="shared" si="1"/>
        <v>0</v>
      </c>
      <c r="K60" s="51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3"/>
      <c r="W60" s="54"/>
      <c r="X60" s="39"/>
      <c r="Y60" s="55"/>
    </row>
    <row r="61" spans="1:25" s="41" customFormat="1" ht="15.75" customHeight="1">
      <c r="A61" s="42">
        <v>57</v>
      </c>
      <c r="B61" s="62"/>
      <c r="C61" s="46"/>
      <c r="D61" s="45"/>
      <c r="E61" s="46"/>
      <c r="F61" s="47"/>
      <c r="G61" s="48"/>
      <c r="H61" s="49"/>
      <c r="I61" s="50"/>
      <c r="J61" s="34" t="str">
        <f t="shared" si="1"/>
        <v>0</v>
      </c>
      <c r="K61" s="51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3"/>
      <c r="W61" s="54"/>
      <c r="X61" s="39"/>
      <c r="Y61" s="55"/>
    </row>
    <row r="62" spans="1:25" s="41" customFormat="1" ht="15.75" customHeight="1">
      <c r="A62" s="42">
        <v>58</v>
      </c>
      <c r="B62" s="62"/>
      <c r="C62" s="46"/>
      <c r="D62" s="45"/>
      <c r="E62" s="46"/>
      <c r="F62" s="47"/>
      <c r="G62" s="48"/>
      <c r="H62" s="49"/>
      <c r="I62" s="50"/>
      <c r="J62" s="34" t="str">
        <f t="shared" si="1"/>
        <v>0</v>
      </c>
      <c r="K62" s="51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3"/>
      <c r="W62" s="54"/>
      <c r="X62" s="39"/>
      <c r="Y62" s="55"/>
    </row>
    <row r="63" spans="1:25" s="41" customFormat="1" ht="15.75" customHeight="1">
      <c r="A63" s="42">
        <v>59</v>
      </c>
      <c r="B63" s="62"/>
      <c r="C63" s="46"/>
      <c r="D63" s="45"/>
      <c r="E63" s="46"/>
      <c r="F63" s="47"/>
      <c r="G63" s="48"/>
      <c r="H63" s="49"/>
      <c r="I63" s="50"/>
      <c r="J63" s="34" t="str">
        <f t="shared" si="1"/>
        <v>0</v>
      </c>
      <c r="K63" s="51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3"/>
      <c r="W63" s="54"/>
      <c r="X63" s="39"/>
      <c r="Y63" s="55"/>
    </row>
    <row r="64" spans="1:25" s="41" customFormat="1" ht="15.75" customHeight="1">
      <c r="A64" s="42">
        <v>60</v>
      </c>
      <c r="B64" s="62"/>
      <c r="C64" s="46"/>
      <c r="D64" s="45"/>
      <c r="E64" s="46"/>
      <c r="F64" s="47"/>
      <c r="G64" s="48"/>
      <c r="H64" s="49"/>
      <c r="I64" s="50"/>
      <c r="J64" s="34" t="str">
        <f t="shared" si="1"/>
        <v>0</v>
      </c>
      <c r="K64" s="51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3"/>
      <c r="W64" s="54"/>
      <c r="X64" s="39"/>
      <c r="Y64" s="55"/>
    </row>
    <row r="65" spans="1:25" s="41" customFormat="1" ht="15.75" customHeight="1">
      <c r="A65" s="42">
        <v>61</v>
      </c>
      <c r="B65" s="62"/>
      <c r="C65" s="46"/>
      <c r="D65" s="45"/>
      <c r="E65" s="46"/>
      <c r="F65" s="47"/>
      <c r="G65" s="48"/>
      <c r="H65" s="49"/>
      <c r="I65" s="50"/>
      <c r="J65" s="34" t="str">
        <f t="shared" si="1"/>
        <v>0</v>
      </c>
      <c r="K65" s="51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3"/>
      <c r="W65" s="54"/>
      <c r="X65" s="39"/>
      <c r="Y65" s="55"/>
    </row>
    <row r="66" spans="1:25" s="41" customFormat="1" ht="15.75" customHeight="1">
      <c r="A66" s="42">
        <v>62</v>
      </c>
      <c r="B66" s="62"/>
      <c r="C66" s="46"/>
      <c r="D66" s="45"/>
      <c r="E66" s="46"/>
      <c r="F66" s="47"/>
      <c r="G66" s="48"/>
      <c r="H66" s="49"/>
      <c r="I66" s="50"/>
      <c r="J66" s="34" t="str">
        <f t="shared" si="1"/>
        <v>0</v>
      </c>
      <c r="K66" s="51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3"/>
      <c r="W66" s="54"/>
      <c r="X66" s="39"/>
      <c r="Y66" s="55"/>
    </row>
    <row r="67" spans="1:25" s="41" customFormat="1" ht="15.75" customHeight="1">
      <c r="A67" s="42">
        <v>63</v>
      </c>
      <c r="B67" s="62"/>
      <c r="C67" s="46"/>
      <c r="D67" s="45"/>
      <c r="E67" s="46"/>
      <c r="F67" s="47"/>
      <c r="G67" s="48"/>
      <c r="H67" s="49"/>
      <c r="I67" s="50"/>
      <c r="J67" s="34" t="str">
        <f t="shared" si="1"/>
        <v>0</v>
      </c>
      <c r="K67" s="51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3"/>
      <c r="W67" s="54"/>
      <c r="X67" s="39"/>
      <c r="Y67" s="55"/>
    </row>
    <row r="68" spans="1:25" s="41" customFormat="1" ht="15.75" customHeight="1">
      <c r="A68" s="42">
        <v>64</v>
      </c>
      <c r="B68" s="62"/>
      <c r="C68" s="46"/>
      <c r="D68" s="45"/>
      <c r="E68" s="46"/>
      <c r="F68" s="47"/>
      <c r="G68" s="48"/>
      <c r="H68" s="49"/>
      <c r="I68" s="50"/>
      <c r="J68" s="34" t="str">
        <f t="shared" si="1"/>
        <v>0</v>
      </c>
      <c r="K68" s="51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3"/>
      <c r="W68" s="54"/>
      <c r="X68" s="39"/>
      <c r="Y68" s="55"/>
    </row>
    <row r="69" spans="1:25" s="41" customFormat="1" ht="15.75" customHeight="1">
      <c r="A69" s="42">
        <v>65</v>
      </c>
      <c r="B69" s="62"/>
      <c r="C69" s="46"/>
      <c r="D69" s="45"/>
      <c r="E69" s="46"/>
      <c r="F69" s="47"/>
      <c r="G69" s="48"/>
      <c r="H69" s="49"/>
      <c r="I69" s="50"/>
      <c r="J69" s="34" t="str">
        <f t="shared" si="1"/>
        <v>0</v>
      </c>
      <c r="K69" s="51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3"/>
      <c r="W69" s="54"/>
      <c r="X69" s="39"/>
      <c r="Y69" s="55"/>
    </row>
    <row r="70" spans="1:25" s="41" customFormat="1" ht="15.75" customHeight="1">
      <c r="A70" s="42">
        <v>66</v>
      </c>
      <c r="B70" s="62"/>
      <c r="C70" s="46"/>
      <c r="D70" s="45"/>
      <c r="E70" s="46"/>
      <c r="F70" s="47"/>
      <c r="G70" s="48"/>
      <c r="H70" s="49"/>
      <c r="I70" s="50"/>
      <c r="J70" s="34" t="str">
        <f t="shared" si="1"/>
        <v>0</v>
      </c>
      <c r="K70" s="51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3"/>
      <c r="W70" s="54"/>
      <c r="X70" s="39"/>
      <c r="Y70" s="55"/>
    </row>
    <row r="71" spans="1:25" s="41" customFormat="1" ht="15.75" customHeight="1">
      <c r="A71" s="42">
        <v>67</v>
      </c>
      <c r="B71" s="62"/>
      <c r="C71" s="46"/>
      <c r="D71" s="45"/>
      <c r="E71" s="46"/>
      <c r="F71" s="47"/>
      <c r="G71" s="48"/>
      <c r="H71" s="49"/>
      <c r="I71" s="50"/>
      <c r="J71" s="34" t="str">
        <f t="shared" ref="J71:J82" si="2">IFERROR(H71/I71,"0")</f>
        <v>0</v>
      </c>
      <c r="K71" s="51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3"/>
      <c r="W71" s="54"/>
      <c r="X71" s="39"/>
      <c r="Y71" s="55"/>
    </row>
    <row r="72" spans="1:25" s="41" customFormat="1" ht="15.75" customHeight="1">
      <c r="A72" s="42">
        <v>68</v>
      </c>
      <c r="B72" s="62"/>
      <c r="C72" s="46"/>
      <c r="D72" s="45"/>
      <c r="E72" s="46"/>
      <c r="F72" s="47"/>
      <c r="G72" s="48"/>
      <c r="H72" s="49"/>
      <c r="I72" s="50"/>
      <c r="J72" s="34" t="str">
        <f t="shared" si="2"/>
        <v>0</v>
      </c>
      <c r="K72" s="51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3"/>
      <c r="W72" s="54"/>
      <c r="X72" s="39"/>
      <c r="Y72" s="55"/>
    </row>
    <row r="73" spans="1:25" s="41" customFormat="1" ht="15.75" customHeight="1">
      <c r="A73" s="42">
        <v>69</v>
      </c>
      <c r="B73" s="62"/>
      <c r="C73" s="46"/>
      <c r="D73" s="45"/>
      <c r="E73" s="46"/>
      <c r="F73" s="47"/>
      <c r="G73" s="48"/>
      <c r="H73" s="49"/>
      <c r="I73" s="50"/>
      <c r="J73" s="34" t="str">
        <f t="shared" si="2"/>
        <v>0</v>
      </c>
      <c r="K73" s="51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3"/>
      <c r="W73" s="54"/>
      <c r="X73" s="39"/>
      <c r="Y73" s="55"/>
    </row>
    <row r="74" spans="1:25" s="41" customFormat="1" ht="15.75" customHeight="1">
      <c r="A74" s="42">
        <v>70</v>
      </c>
      <c r="B74" s="62"/>
      <c r="C74" s="46"/>
      <c r="D74" s="45"/>
      <c r="E74" s="46"/>
      <c r="F74" s="47"/>
      <c r="G74" s="48"/>
      <c r="H74" s="49"/>
      <c r="I74" s="50"/>
      <c r="J74" s="34" t="str">
        <f t="shared" si="2"/>
        <v>0</v>
      </c>
      <c r="K74" s="51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3"/>
      <c r="W74" s="54"/>
      <c r="X74" s="39"/>
      <c r="Y74" s="55"/>
    </row>
    <row r="75" spans="1:25" s="41" customFormat="1" ht="15.75" customHeight="1">
      <c r="A75" s="42">
        <v>71</v>
      </c>
      <c r="B75" s="62"/>
      <c r="C75" s="46"/>
      <c r="D75" s="45"/>
      <c r="E75" s="46"/>
      <c r="F75" s="47"/>
      <c r="G75" s="48"/>
      <c r="H75" s="49"/>
      <c r="I75" s="50"/>
      <c r="J75" s="34" t="str">
        <f t="shared" si="2"/>
        <v>0</v>
      </c>
      <c r="K75" s="51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3"/>
      <c r="W75" s="54"/>
      <c r="X75" s="39"/>
      <c r="Y75" s="55"/>
    </row>
    <row r="76" spans="1:25" s="41" customFormat="1" ht="15.75" customHeight="1">
      <c r="A76" s="42">
        <v>72</v>
      </c>
      <c r="B76" s="62"/>
      <c r="C76" s="46"/>
      <c r="D76" s="45"/>
      <c r="E76" s="46"/>
      <c r="F76" s="47"/>
      <c r="G76" s="48"/>
      <c r="H76" s="49"/>
      <c r="I76" s="50"/>
      <c r="J76" s="34" t="str">
        <f t="shared" si="2"/>
        <v>0</v>
      </c>
      <c r="K76" s="51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3"/>
      <c r="W76" s="54"/>
      <c r="X76" s="39"/>
      <c r="Y76" s="55"/>
    </row>
    <row r="77" spans="1:25" s="41" customFormat="1" ht="15.75" customHeight="1">
      <c r="A77" s="42">
        <v>73</v>
      </c>
      <c r="B77" s="62"/>
      <c r="C77" s="46"/>
      <c r="D77" s="45"/>
      <c r="E77" s="46"/>
      <c r="F77" s="47"/>
      <c r="G77" s="48"/>
      <c r="H77" s="49"/>
      <c r="I77" s="50"/>
      <c r="J77" s="34" t="str">
        <f t="shared" si="2"/>
        <v>0</v>
      </c>
      <c r="K77" s="51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3"/>
      <c r="W77" s="54"/>
      <c r="X77" s="39"/>
      <c r="Y77" s="55"/>
    </row>
    <row r="78" spans="1:25" s="41" customFormat="1" ht="15.75" customHeight="1">
      <c r="A78" s="42">
        <v>74</v>
      </c>
      <c r="B78" s="62"/>
      <c r="C78" s="46"/>
      <c r="D78" s="45"/>
      <c r="E78" s="46"/>
      <c r="F78" s="47"/>
      <c r="G78" s="48"/>
      <c r="H78" s="49"/>
      <c r="I78" s="50"/>
      <c r="J78" s="34" t="str">
        <f t="shared" si="2"/>
        <v>0</v>
      </c>
      <c r="K78" s="51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3"/>
      <c r="W78" s="54"/>
      <c r="X78" s="39"/>
      <c r="Y78" s="55"/>
    </row>
    <row r="79" spans="1:25" s="41" customFormat="1" ht="15.75" customHeight="1">
      <c r="A79" s="42">
        <v>75</v>
      </c>
      <c r="B79" s="62"/>
      <c r="C79" s="46"/>
      <c r="D79" s="45"/>
      <c r="E79" s="46"/>
      <c r="F79" s="47"/>
      <c r="G79" s="48"/>
      <c r="H79" s="49"/>
      <c r="I79" s="50"/>
      <c r="J79" s="34" t="str">
        <f t="shared" si="2"/>
        <v>0</v>
      </c>
      <c r="K79" s="51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  <c r="W79" s="54"/>
      <c r="X79" s="39"/>
      <c r="Y79" s="55"/>
    </row>
    <row r="80" spans="1:25" s="41" customFormat="1" ht="15.75" customHeight="1">
      <c r="A80" s="42">
        <v>76</v>
      </c>
      <c r="B80" s="62"/>
      <c r="C80" s="46"/>
      <c r="D80" s="45"/>
      <c r="E80" s="46"/>
      <c r="F80" s="47"/>
      <c r="G80" s="48"/>
      <c r="H80" s="49"/>
      <c r="I80" s="50"/>
      <c r="J80" s="34" t="str">
        <f t="shared" si="2"/>
        <v>0</v>
      </c>
      <c r="K80" s="51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3"/>
      <c r="W80" s="54"/>
      <c r="X80" s="39"/>
      <c r="Y80" s="55"/>
    </row>
    <row r="81" spans="1:25" s="41" customFormat="1" ht="15.75" customHeight="1">
      <c r="A81" s="42">
        <v>77</v>
      </c>
      <c r="B81" s="62"/>
      <c r="C81" s="46"/>
      <c r="D81" s="45"/>
      <c r="E81" s="46"/>
      <c r="F81" s="47"/>
      <c r="G81" s="48"/>
      <c r="H81" s="49"/>
      <c r="I81" s="50"/>
      <c r="J81" s="34" t="str">
        <f t="shared" si="2"/>
        <v>0</v>
      </c>
      <c r="K81" s="51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3"/>
      <c r="W81" s="54"/>
      <c r="X81" s="39"/>
      <c r="Y81" s="55"/>
    </row>
    <row r="82" spans="1:25" s="41" customFormat="1" ht="15.75" customHeight="1">
      <c r="A82" s="63">
        <v>78</v>
      </c>
      <c r="B82" s="64"/>
      <c r="C82" s="65"/>
      <c r="D82" s="66"/>
      <c r="E82" s="65"/>
      <c r="F82" s="67"/>
      <c r="G82" s="68"/>
      <c r="H82" s="49"/>
      <c r="I82" s="50"/>
      <c r="J82" s="34" t="str">
        <f t="shared" si="2"/>
        <v>0</v>
      </c>
      <c r="K82" s="69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1"/>
      <c r="W82" s="54"/>
      <c r="X82" s="39"/>
      <c r="Y82" s="55"/>
    </row>
    <row r="83" spans="1:25" s="84" customFormat="1" ht="15.75" customHeight="1">
      <c r="A83" s="72"/>
      <c r="B83" s="73"/>
      <c r="C83" s="74" t="str">
        <f>IFERROR(VLOOKUP(E83,#REF!,7,0),"")</f>
        <v/>
      </c>
      <c r="D83" s="75" t="str">
        <f>IFERROR(VLOOKUP(E83,#REF!,6,0),"")</f>
        <v/>
      </c>
      <c r="E83" s="76"/>
      <c r="F83" s="77"/>
      <c r="G83" s="78">
        <f>SUM(G7:G82)</f>
        <v>0</v>
      </c>
      <c r="H83" s="79">
        <f>SUM(H7:H82)</f>
        <v>3</v>
      </c>
      <c r="I83" s="79">
        <f>SUM(I7:I82)</f>
        <v>33</v>
      </c>
      <c r="J83" s="80">
        <f>IFERROR((H83/I83),"0")</f>
        <v>9.0909090909090912E-2</v>
      </c>
      <c r="K83" s="81">
        <f t="shared" ref="K83:V83" si="3">SUM(K7:K82)</f>
        <v>0</v>
      </c>
      <c r="L83" s="81">
        <f t="shared" si="3"/>
        <v>0</v>
      </c>
      <c r="M83" s="81">
        <f t="shared" si="3"/>
        <v>0</v>
      </c>
      <c r="N83" s="81">
        <f t="shared" si="3"/>
        <v>0</v>
      </c>
      <c r="O83" s="81">
        <f t="shared" si="3"/>
        <v>0</v>
      </c>
      <c r="P83" s="81">
        <f t="shared" si="3"/>
        <v>0</v>
      </c>
      <c r="Q83" s="81">
        <f t="shared" si="3"/>
        <v>0</v>
      </c>
      <c r="R83" s="81">
        <f t="shared" si="3"/>
        <v>0</v>
      </c>
      <c r="S83" s="81">
        <f t="shared" si="3"/>
        <v>0</v>
      </c>
      <c r="T83" s="81">
        <f t="shared" si="3"/>
        <v>0</v>
      </c>
      <c r="U83" s="81">
        <f t="shared" si="3"/>
        <v>0</v>
      </c>
      <c r="V83" s="81">
        <f t="shared" si="3"/>
        <v>0</v>
      </c>
      <c r="W83" s="82"/>
      <c r="X83" s="82"/>
      <c r="Y83" s="83"/>
    </row>
    <row r="84" spans="1:25" ht="15.75" customHeight="1"/>
    <row r="85" spans="1:25" ht="15.75" customHeight="1">
      <c r="W85" s="1"/>
      <c r="X85" s="85" t="s">
        <v>9</v>
      </c>
      <c r="Y85" s="86">
        <f>COUNTA(X7:X82)</f>
        <v>11</v>
      </c>
    </row>
    <row r="86" spans="1:25" ht="15.75" customHeight="1">
      <c r="W86" s="1"/>
      <c r="X86" s="87" t="s">
        <v>47</v>
      </c>
      <c r="Y86" s="88">
        <f>COUNTIF(X7:X82,"AC")</f>
        <v>9</v>
      </c>
    </row>
    <row r="87" spans="1:25" ht="15.75" customHeight="1">
      <c r="W87" s="1"/>
      <c r="X87" s="87" t="s">
        <v>48</v>
      </c>
      <c r="Y87" s="88">
        <f>COUNTIF(X7:X82,"RE")</f>
        <v>0</v>
      </c>
    </row>
    <row r="88" spans="1:25" ht="15.75" customHeight="1">
      <c r="W88" s="1"/>
      <c r="X88" s="89" t="s">
        <v>49</v>
      </c>
      <c r="Y88" s="90">
        <f>IFERROR(Y87/Y85*100,"0")</f>
        <v>0</v>
      </c>
    </row>
  </sheetData>
  <autoFilter ref="B4:Y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mergeCells count="14">
    <mergeCell ref="A4:A6"/>
    <mergeCell ref="B4:B6"/>
    <mergeCell ref="C4:C6"/>
    <mergeCell ref="D4:D6"/>
    <mergeCell ref="E4:E6"/>
    <mergeCell ref="K4:V5"/>
    <mergeCell ref="W4:W6"/>
    <mergeCell ref="X4:X6"/>
    <mergeCell ref="Y4:Y6"/>
    <mergeCell ref="F4:F6"/>
    <mergeCell ref="G4:G6"/>
    <mergeCell ref="H4:H6"/>
    <mergeCell ref="I4:I6"/>
    <mergeCell ref="J4:J6"/>
  </mergeCells>
  <phoneticPr fontId="24" type="noConversion"/>
  <conditionalFormatting sqref="X11">
    <cfRule type="containsText" dxfId="25" priority="2" operator="containsText" text="RE">
      <formula>NOT(ISERROR(SEARCH("RE",X11)))</formula>
    </cfRule>
    <cfRule type="containsText" dxfId="24" priority="3" operator="containsText" text="RE">
      <formula>NOT(ISERROR(SEARCH("RE",X11)))</formula>
    </cfRule>
  </conditionalFormatting>
  <conditionalFormatting sqref="X11">
    <cfRule type="containsText" dxfId="23" priority="4" operator="containsText" text="X">
      <formula>NOT(ISERROR(SEARCH("X",X11)))</formula>
    </cfRule>
  </conditionalFormatting>
  <conditionalFormatting sqref="W11">
    <cfRule type="containsText" dxfId="22" priority="5" operator="containsText" text="X">
      <formula>NOT(ISERROR(SEARCH("X",W11)))</formula>
    </cfRule>
  </conditionalFormatting>
  <conditionalFormatting sqref="G11">
    <cfRule type="containsText" dxfId="21" priority="6" operator="containsText" text="X">
      <formula>NOT(ISERROR(SEARCH("X",G11)))</formula>
    </cfRule>
  </conditionalFormatting>
  <conditionalFormatting sqref="E11">
    <cfRule type="containsText" dxfId="20" priority="7" operator="containsText" text="X">
      <formula>NOT(ISERROR(SEARCH("X",E11)))</formula>
    </cfRule>
  </conditionalFormatting>
  <conditionalFormatting sqref="J11:V11">
    <cfRule type="containsText" dxfId="19" priority="8" operator="containsText" text="X">
      <formula>NOT(ISERROR(SEARCH("X",J11)))</formula>
    </cfRule>
  </conditionalFormatting>
  <conditionalFormatting sqref="F11 H11:I11">
    <cfRule type="containsText" dxfId="18" priority="9" operator="containsText" text="X">
      <formula>NOT(ISERROR(SEARCH("X",F11)))</formula>
    </cfRule>
  </conditionalFormatting>
  <conditionalFormatting sqref="G7:G8">
    <cfRule type="containsText" dxfId="17" priority="10" operator="containsText" text="X">
      <formula>NOT(ISERROR(SEARCH("X",G7)))</formula>
    </cfRule>
  </conditionalFormatting>
  <conditionalFormatting sqref="E7:E8">
    <cfRule type="containsText" dxfId="16" priority="11" operator="containsText" text="X">
      <formula>NOT(ISERROR(SEARCH("X",E7)))</formula>
    </cfRule>
  </conditionalFormatting>
  <conditionalFormatting sqref="F7:F8">
    <cfRule type="containsText" dxfId="15" priority="12" operator="containsText" text="X">
      <formula>NOT(ISERROR(SEARCH("X",F7)))</formula>
    </cfRule>
  </conditionalFormatting>
  <conditionalFormatting sqref="Y85:Y88">
    <cfRule type="containsText" dxfId="14" priority="13" operator="containsText" text="X">
      <formula>NOT(ISERROR(SEARCH("X",Y85)))</formula>
    </cfRule>
    <cfRule type="containsText" dxfId="13" priority="14" operator="containsText" text="X">
      <formula>NOT(ISERROR(SEARCH("X",Y85)))</formula>
    </cfRule>
  </conditionalFormatting>
  <conditionalFormatting sqref="X7:X10 X12:X82">
    <cfRule type="containsText" dxfId="12" priority="15" operator="containsText" text="RE">
      <formula>NOT(ISERROR(SEARCH("RE",X7)))</formula>
    </cfRule>
    <cfRule type="containsText" dxfId="11" priority="16" operator="containsText" text="RE">
      <formula>NOT(ISERROR(SEARCH("RE",X7)))</formula>
    </cfRule>
    <cfRule type="containsText" dxfId="10" priority="17" operator="containsText" text="X">
      <formula>NOT(ISERROR(SEARCH("X",X7)))</formula>
    </cfRule>
  </conditionalFormatting>
  <conditionalFormatting sqref="U6">
    <cfRule type="containsText" dxfId="9" priority="18" operator="containsText" text="X">
      <formula>NOT(ISERROR(SEARCH("X",U6)))</formula>
    </cfRule>
  </conditionalFormatting>
  <conditionalFormatting sqref="W7:W10 W12:W30">
    <cfRule type="containsText" dxfId="8" priority="19" operator="containsText" text="X">
      <formula>NOT(ISERROR(SEARCH("X",W7)))</formula>
    </cfRule>
  </conditionalFormatting>
  <conditionalFormatting sqref="G9:G10 G12:G30">
    <cfRule type="containsText" dxfId="7" priority="20" operator="containsText" text="X">
      <formula>NOT(ISERROR(SEARCH("X",G9)))</formula>
    </cfRule>
  </conditionalFormatting>
  <conditionalFormatting sqref="E9:E10 E12:E30">
    <cfRule type="containsText" dxfId="6" priority="21" operator="containsText" text="X">
      <formula>NOT(ISERROR(SEARCH("X",E9)))</formula>
    </cfRule>
  </conditionalFormatting>
  <conditionalFormatting sqref="I4">
    <cfRule type="containsText" dxfId="5" priority="22" operator="containsText" text="X">
      <formula>NOT(ISERROR(SEARCH("X",I4)))</formula>
    </cfRule>
  </conditionalFormatting>
  <conditionalFormatting sqref="I83:I1048576">
    <cfRule type="containsText" dxfId="4" priority="23" operator="containsText" text="X">
      <formula>NOT(ISERROR(SEARCH("X",I83)))</formula>
    </cfRule>
  </conditionalFormatting>
  <conditionalFormatting sqref="D7 J7:V10 J12:V30 D12:D26">
    <cfRule type="containsText" dxfId="3" priority="24" operator="containsText" text="X">
      <formula>NOT(ISERROR(SEARCH("X",D7)))</formula>
    </cfRule>
  </conditionalFormatting>
  <conditionalFormatting sqref="X4 K4">
    <cfRule type="containsText" dxfId="2" priority="25" operator="containsText" text="X">
      <formula>NOT(ISERROR(SEARCH("X",K4)))</formula>
    </cfRule>
  </conditionalFormatting>
  <conditionalFormatting sqref="X85:X88">
    <cfRule type="containsText" dxfId="1" priority="26" operator="containsText" text="X">
      <formula>NOT(ISERROR(SEARCH("X",X85)))</formula>
    </cfRule>
  </conditionalFormatting>
  <conditionalFormatting sqref="J4:J6 W4:W6 F9:F10 W1:Y3 B27:D30 B7:C7 J83:XFD84 J89:XFD1048576 J85:V88 X85:X88 H4 H7:I10 B31:W82 Y31:XFD82 Z85:XFD88 B83:H1048576 A4:G6 H12:I30 F12:F30 Z1:XFD30 Y4:Y30 B12:C26">
    <cfRule type="containsText" dxfId="0" priority="27" operator="containsText" text="X">
      <formula>NOT(ISERROR(SEARCH("X",A1)))</formula>
    </cfRule>
  </conditionalFormatting>
  <pageMargins left="0.179861111111111" right="0.118055555555556" top="0.74791666666666701" bottom="0.15763888888888899" header="0.511811023622047" footer="0.511811023622047"/>
  <pageSetup paperSize="9" scale="6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7" sqref="Q7"/>
    </sheetView>
  </sheetViews>
  <sheetFormatPr defaultColWidth="8.625" defaultRowHeight="16.5"/>
  <cols>
    <col min="1" max="1" width="11.625" customWidth="1"/>
    <col min="2" max="2" width="9" style="91" customWidth="1"/>
    <col min="3" max="4" width="9.125" customWidth="1"/>
    <col min="5" max="5" width="9.625" customWidth="1"/>
    <col min="6" max="8" width="9.875" customWidth="1"/>
    <col min="9" max="10" width="9" customWidth="1"/>
    <col min="11" max="11" width="9.875" customWidth="1"/>
    <col min="12" max="12" width="9" customWidth="1"/>
    <col min="15" max="15" width="9.125" customWidth="1"/>
  </cols>
  <sheetData>
    <row r="1" spans="1:15">
      <c r="A1" s="220" t="s">
        <v>50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</row>
    <row r="2" spans="1:15">
      <c r="A2" s="92" t="s">
        <v>6</v>
      </c>
      <c r="B2" s="93" t="s">
        <v>51</v>
      </c>
      <c r="C2" s="94">
        <v>1</v>
      </c>
      <c r="D2" s="94">
        <v>2</v>
      </c>
      <c r="E2" s="94">
        <v>3</v>
      </c>
      <c r="F2" s="94">
        <v>4</v>
      </c>
      <c r="G2" s="94">
        <v>5</v>
      </c>
      <c r="H2" s="94">
        <v>6</v>
      </c>
      <c r="I2" s="94">
        <v>7</v>
      </c>
      <c r="J2" s="94">
        <v>8</v>
      </c>
      <c r="K2" s="94">
        <v>9</v>
      </c>
      <c r="L2" s="94">
        <v>10</v>
      </c>
      <c r="M2" s="94">
        <v>11</v>
      </c>
      <c r="N2" s="95">
        <v>12</v>
      </c>
      <c r="O2" s="94" t="s">
        <v>52</v>
      </c>
    </row>
    <row r="3" spans="1:15" ht="16.5" customHeight="1">
      <c r="A3" s="221" t="s">
        <v>53</v>
      </c>
      <c r="B3" s="96" t="s">
        <v>54</v>
      </c>
      <c r="C3" s="97">
        <f>[1]검사현황!$B$3</f>
        <v>1000</v>
      </c>
      <c r="D3" s="97">
        <f>[1]검사현황!$C$3</f>
        <v>0</v>
      </c>
      <c r="E3" s="97">
        <f>[1]검사현황!$D$3</f>
        <v>5000</v>
      </c>
      <c r="F3" s="97">
        <f>[1]검사현황!$E$3</f>
        <v>5000</v>
      </c>
      <c r="G3" s="97">
        <f>[1]검사현황!$F$3</f>
        <v>2000</v>
      </c>
      <c r="H3" s="97">
        <f>[1]검사현황!$G$3</f>
        <v>0</v>
      </c>
      <c r="I3" s="97">
        <f>[1]검사현황!$H$3</f>
        <v>1000</v>
      </c>
      <c r="J3" s="97">
        <f>[1]검사현황!$I$3</f>
        <v>1000</v>
      </c>
      <c r="K3" s="97">
        <f>[1]검사현황!$J$3</f>
        <v>9000</v>
      </c>
      <c r="L3" s="97">
        <f>[1]검사현황!$K$3</f>
        <v>1000</v>
      </c>
      <c r="M3" s="97">
        <f>[1]검사현황!$L$3</f>
        <v>0</v>
      </c>
      <c r="N3" s="97">
        <f>[1]검사현황!$M$3</f>
        <v>2000</v>
      </c>
      <c r="O3" s="98">
        <f>SUM(C3:N3)</f>
        <v>27000</v>
      </c>
    </row>
    <row r="4" spans="1:15">
      <c r="A4" s="221"/>
      <c r="B4" s="99" t="s">
        <v>55</v>
      </c>
      <c r="C4" s="100">
        <f>[1]검사현황!$B$6</f>
        <v>0</v>
      </c>
      <c r="D4" s="100" t="str">
        <f>[1]검사현황!$C$6</f>
        <v>0</v>
      </c>
      <c r="E4" s="100">
        <f>[1]검사현황!$D$6</f>
        <v>0</v>
      </c>
      <c r="F4" s="100">
        <f>[1]검사현황!$E$6</f>
        <v>0</v>
      </c>
      <c r="G4" s="100">
        <f>[1]검사현황!$F$6</f>
        <v>0</v>
      </c>
      <c r="H4" s="100" t="str">
        <f>[1]검사현황!$G$6</f>
        <v>0</v>
      </c>
      <c r="I4" s="100">
        <f>[1]검사현황!$H$6</f>
        <v>0</v>
      </c>
      <c r="J4" s="100">
        <f>[1]검사현황!$I$6</f>
        <v>0</v>
      </c>
      <c r="K4" s="100">
        <f>[1]검사현황!$J$6</f>
        <v>0</v>
      </c>
      <c r="L4" s="100">
        <f>[1]검사현황!$K$6</f>
        <v>0</v>
      </c>
      <c r="M4" s="100" t="str">
        <f>[1]검사현황!$L$6</f>
        <v>0</v>
      </c>
      <c r="N4" s="100">
        <f>[1]검사현황!$M$6</f>
        <v>3.3333333333333335</v>
      </c>
      <c r="O4" s="101">
        <f>[1]검사현황!$N$6</f>
        <v>0.21551724137931033</v>
      </c>
    </row>
    <row r="5" spans="1:15" ht="16.5" customHeight="1">
      <c r="A5" s="222" t="s">
        <v>34</v>
      </c>
      <c r="B5" s="153" t="s">
        <v>54</v>
      </c>
      <c r="C5" s="154">
        <f>[2]검사현황!$B$3</f>
        <v>0</v>
      </c>
      <c r="D5" s="154">
        <f>[2]검사현황!$C$3</f>
        <v>5772</v>
      </c>
      <c r="E5" s="154">
        <f>[2]검사현황!$D$3</f>
        <v>8438</v>
      </c>
      <c r="F5" s="154">
        <f>[2]검사현황!$E$3</f>
        <v>64000</v>
      </c>
      <c r="G5" s="154">
        <f>[2]검사현황!$F$3</f>
        <v>0</v>
      </c>
      <c r="H5" s="154">
        <f>[2]검사현황!$G$3</f>
        <v>6000</v>
      </c>
      <c r="I5" s="154">
        <f>[2]검사현황!$H$3</f>
        <v>0</v>
      </c>
      <c r="J5" s="154">
        <f>[2]검사현황!$I$3</f>
        <v>14200</v>
      </c>
      <c r="K5" s="154">
        <f>[2]검사현황!$J$3</f>
        <v>36440</v>
      </c>
      <c r="L5" s="154">
        <f>[2]검사현황!$K$3</f>
        <v>0</v>
      </c>
      <c r="M5" s="154">
        <f>[2]검사현황!$L$3</f>
        <v>0</v>
      </c>
      <c r="N5" s="154">
        <f>[2]검사현황!$M$3</f>
        <v>870</v>
      </c>
      <c r="O5" s="155">
        <f>SUM(C5:N5)</f>
        <v>135720</v>
      </c>
    </row>
    <row r="6" spans="1:15">
      <c r="A6" s="222"/>
      <c r="B6" s="156" t="s">
        <v>55</v>
      </c>
      <c r="C6" s="157" t="str">
        <f>[2]검사현황!$B$6</f>
        <v>0</v>
      </c>
      <c r="D6" s="157">
        <f>[2]검사현황!$C$6</f>
        <v>0.65789473684210531</v>
      </c>
      <c r="E6" s="157">
        <f>[2]검사현황!$D$6</f>
        <v>0</v>
      </c>
      <c r="F6" s="157">
        <f>[2]검사현황!$E$6</f>
        <v>4.6728971962616823</v>
      </c>
      <c r="G6" s="157" t="str">
        <f>[2]검사현황!$F$6</f>
        <v>0</v>
      </c>
      <c r="H6" s="157">
        <f>[2]검사현황!$G$6</f>
        <v>0</v>
      </c>
      <c r="I6" s="157" t="str">
        <f>[2]검사현황!$H$6</f>
        <v>0</v>
      </c>
      <c r="J6" s="157">
        <f>[2]검사현황!$I$6</f>
        <v>0</v>
      </c>
      <c r="K6" s="157">
        <f>[2]검사현황!$J$6</f>
        <v>0</v>
      </c>
      <c r="L6" s="157" t="str">
        <f>[2]검사현황!$K$6</f>
        <v>0</v>
      </c>
      <c r="M6" s="157" t="str">
        <f>[2]검사현황!$L$6</f>
        <v>0</v>
      </c>
      <c r="N6" s="157">
        <f>[2]검사현황!$M$6</f>
        <v>0</v>
      </c>
      <c r="O6" s="158">
        <f>[2]검사현황!$N$6</f>
        <v>1.7931034482758619</v>
      </c>
    </row>
    <row r="7" spans="1:15">
      <c r="A7" s="213" t="s">
        <v>30</v>
      </c>
      <c r="B7" s="96" t="s">
        <v>54</v>
      </c>
      <c r="C7" s="97">
        <f>[3]검사현황!$B$3</f>
        <v>15939</v>
      </c>
      <c r="D7" s="97">
        <f>[3]검사현황!$C$3</f>
        <v>7360</v>
      </c>
      <c r="E7" s="97">
        <f>[3]검사현황!$D$3</f>
        <v>5020</v>
      </c>
      <c r="F7" s="97">
        <f>[3]검사현황!$E$3</f>
        <v>3000</v>
      </c>
      <c r="G7" s="97">
        <f>[3]검사현황!$F$3</f>
        <v>10000</v>
      </c>
      <c r="H7" s="97">
        <f>[3]검사현황!$G$3</f>
        <v>4000</v>
      </c>
      <c r="I7" s="97">
        <f>[3]검사현황!$H$3</f>
        <v>12000</v>
      </c>
      <c r="J7" s="97">
        <f>[3]검사현황!$I$3</f>
        <v>9000</v>
      </c>
      <c r="K7" s="97">
        <f>[3]검사현황!$J$3</f>
        <v>4020</v>
      </c>
      <c r="L7" s="97">
        <f>[3]검사현황!$K$3</f>
        <v>8162</v>
      </c>
      <c r="M7" s="97">
        <f>[3]검사현황!$L$3</f>
        <v>3097</v>
      </c>
      <c r="N7" s="97">
        <f>[3]검사현황!$M$3</f>
        <v>2810</v>
      </c>
      <c r="O7" s="102">
        <f>SUM(C7:N7)</f>
        <v>84408</v>
      </c>
    </row>
    <row r="8" spans="1:15">
      <c r="A8" s="213"/>
      <c r="B8" s="103" t="s">
        <v>55</v>
      </c>
      <c r="C8" s="104">
        <f>[3]검사현황!$B$6</f>
        <v>0</v>
      </c>
      <c r="D8" s="105">
        <f>[3]검사현황!$C$6</f>
        <v>20</v>
      </c>
      <c r="E8" s="105">
        <f>[3]검사현황!$D$6</f>
        <v>69.230769230769226</v>
      </c>
      <c r="F8" s="105">
        <f>[3]검사현황!$E$6</f>
        <v>5</v>
      </c>
      <c r="G8" s="105">
        <f>[3]검사현황!$F$6</f>
        <v>0</v>
      </c>
      <c r="H8" s="105">
        <f>[3]검사현황!$G$6</f>
        <v>0</v>
      </c>
      <c r="I8" s="105">
        <f>[3]검사현황!$H$6</f>
        <v>5.6872037914691944</v>
      </c>
      <c r="J8" s="105">
        <f>[3]검사현황!$I$6</f>
        <v>0</v>
      </c>
      <c r="K8" s="105">
        <f>[3]검사현황!$J$6</f>
        <v>0</v>
      </c>
      <c r="L8" s="105">
        <f>[3]검사현황!$K$6</f>
        <v>0</v>
      </c>
      <c r="M8" s="105">
        <f>[3]검사현황!$L$6</f>
        <v>0</v>
      </c>
      <c r="N8" s="105">
        <f>[3]검사현황!$M$6</f>
        <v>12.5</v>
      </c>
      <c r="O8" s="106">
        <f>[3]검사현황!$N$6</f>
        <v>7.5466594536110359</v>
      </c>
    </row>
    <row r="9" spans="1:15" ht="16.5" customHeight="1">
      <c r="A9" s="223" t="s">
        <v>56</v>
      </c>
      <c r="B9" s="159" t="s">
        <v>54</v>
      </c>
      <c r="C9" s="160">
        <f>[4]검사현황!$B$3</f>
        <v>938</v>
      </c>
      <c r="D9" s="160">
        <f>[4]검사현황!$C$3</f>
        <v>0</v>
      </c>
      <c r="E9" s="160">
        <f>[4]검사현황!$D$3</f>
        <v>996</v>
      </c>
      <c r="F9" s="160">
        <f>[4]검사현황!$E$3</f>
        <v>0</v>
      </c>
      <c r="G9" s="160">
        <f>[4]검사현황!$F$3</f>
        <v>2000</v>
      </c>
      <c r="H9" s="160">
        <f>[4]검사현황!$G$3</f>
        <v>0</v>
      </c>
      <c r="I9" s="160">
        <f>[4]검사현황!$H$3</f>
        <v>2000</v>
      </c>
      <c r="J9" s="160">
        <f>[4]검사현황!$I$3</f>
        <v>1510</v>
      </c>
      <c r="K9" s="160">
        <f>[4]검사현황!$J$3</f>
        <v>500</v>
      </c>
      <c r="L9" s="160">
        <f>[4]검사현황!$K$3</f>
        <v>982</v>
      </c>
      <c r="M9" s="160">
        <f>[4]검사현황!$L$3</f>
        <v>0</v>
      </c>
      <c r="N9" s="160">
        <f>[4]검사현황!$M$3</f>
        <v>2491</v>
      </c>
      <c r="O9" s="161">
        <f>SUM(C9:N9)</f>
        <v>11417</v>
      </c>
    </row>
    <row r="10" spans="1:15">
      <c r="A10" s="223"/>
      <c r="B10" s="162" t="s">
        <v>55</v>
      </c>
      <c r="C10" s="163">
        <f>[4]검사현황!$B$6</f>
        <v>0</v>
      </c>
      <c r="D10" s="163" t="str">
        <f>[4]검사현황!$C$6</f>
        <v>0</v>
      </c>
      <c r="E10" s="163">
        <f>[4]검사현황!$D$6</f>
        <v>0</v>
      </c>
      <c r="F10" s="163" t="str">
        <f>[4]검사현황!$E$6</f>
        <v>0</v>
      </c>
      <c r="G10" s="163">
        <f>[4]검사현황!$F$6</f>
        <v>0</v>
      </c>
      <c r="H10" s="163" t="str">
        <f>[4]검사현황!$G$6</f>
        <v>0</v>
      </c>
      <c r="I10" s="163">
        <f>[4]검사현황!$H$6</f>
        <v>0</v>
      </c>
      <c r="J10" s="163">
        <f>[4]검사현황!$I$6</f>
        <v>0</v>
      </c>
      <c r="K10" s="163">
        <f>[4]검사현황!$J$6</f>
        <v>0</v>
      </c>
      <c r="L10" s="163">
        <f>[4]검사현황!$K$6</f>
        <v>0</v>
      </c>
      <c r="M10" s="163" t="str">
        <f>[4]검사현황!$L$6</f>
        <v>0</v>
      </c>
      <c r="N10" s="163">
        <f>[4]검사현황!$M$6</f>
        <v>0</v>
      </c>
      <c r="O10" s="164">
        <f>[4]검사현황!$N$6</f>
        <v>0</v>
      </c>
    </row>
    <row r="11" spans="1:15">
      <c r="A11" s="213" t="s">
        <v>57</v>
      </c>
      <c r="B11" s="96" t="s">
        <v>54</v>
      </c>
      <c r="C11" s="97">
        <f>[5]검사현황!$B$3</f>
        <v>0</v>
      </c>
      <c r="D11" s="97">
        <f>[5]검사현황!$C$3</f>
        <v>0</v>
      </c>
      <c r="E11" s="97">
        <f>[5]검사현황!$D$3</f>
        <v>4000</v>
      </c>
      <c r="F11" s="97">
        <f>[5]검사현황!$E$3</f>
        <v>3260</v>
      </c>
      <c r="G11" s="97">
        <f>[5]검사현황!$F$3</f>
        <v>0</v>
      </c>
      <c r="H11" s="97">
        <f>[5]검사현황!$G$3</f>
        <v>0</v>
      </c>
      <c r="I11" s="97">
        <f>[5]검사현황!$H$3</f>
        <v>0</v>
      </c>
      <c r="J11" s="97">
        <f>[5]검사현황!$H$3</f>
        <v>0</v>
      </c>
      <c r="K11" s="97">
        <f>[5]검사현황!$J$3</f>
        <v>3000</v>
      </c>
      <c r="L11" s="97">
        <f>[5]검사현황!$K$3</f>
        <v>500</v>
      </c>
      <c r="M11" s="97">
        <f>[5]검사현황!$L$3</f>
        <v>0</v>
      </c>
      <c r="N11" s="97">
        <f>[5]검사현황!$M$3</f>
        <v>0</v>
      </c>
      <c r="O11" s="102">
        <f>SUM(C11:N11)</f>
        <v>10760</v>
      </c>
    </row>
    <row r="12" spans="1:15">
      <c r="A12" s="213"/>
      <c r="B12" s="103" t="s">
        <v>55</v>
      </c>
      <c r="C12" s="111" t="str">
        <f>[5]검사현황!$B$6</f>
        <v>0</v>
      </c>
      <c r="D12" s="111" t="str">
        <f>[5]검사현황!$C$6</f>
        <v>0</v>
      </c>
      <c r="E12" s="111">
        <f>[5]검사현황!$D$6</f>
        <v>0</v>
      </c>
      <c r="F12" s="111">
        <f>[5]검사현황!$E$6</f>
        <v>0</v>
      </c>
      <c r="G12" s="111" t="str">
        <f>[5]검사현황!$F$6</f>
        <v>0</v>
      </c>
      <c r="H12" s="111" t="str">
        <f>[5]검사현황!$G$6</f>
        <v>0</v>
      </c>
      <c r="I12" s="111" t="str">
        <f>[5]검사현황!$H$6</f>
        <v>0</v>
      </c>
      <c r="J12" s="111" t="str">
        <f>[5]검사현황!$H$6</f>
        <v>0</v>
      </c>
      <c r="K12" s="111">
        <f>[5]검사현황!$J$6</f>
        <v>0</v>
      </c>
      <c r="L12" s="111">
        <f>[5]검사현황!$K$6</f>
        <v>0</v>
      </c>
      <c r="M12" s="111" t="str">
        <f>[5]검사현황!$L$6</f>
        <v>0</v>
      </c>
      <c r="N12" s="111" t="str">
        <f>[5]검사현황!$M$6</f>
        <v>0</v>
      </c>
      <c r="O12" s="112">
        <f>[5]검사현황!$N$6</f>
        <v>0</v>
      </c>
    </row>
    <row r="13" spans="1:15">
      <c r="A13" s="208" t="s">
        <v>58</v>
      </c>
      <c r="B13" s="153" t="s">
        <v>54</v>
      </c>
      <c r="C13" s="154">
        <f>[6]검사현황!$B$3</f>
        <v>0</v>
      </c>
      <c r="D13" s="154">
        <f>[6]검사현황!$C$3</f>
        <v>0</v>
      </c>
      <c r="E13" s="154">
        <f>[6]검사현황!$D$3</f>
        <v>2500</v>
      </c>
      <c r="F13" s="154">
        <f>[6]검사현황!$E$3</f>
        <v>0</v>
      </c>
      <c r="G13" s="154">
        <f>[6]검사현황!$F$3</f>
        <v>0</v>
      </c>
      <c r="H13" s="154">
        <f>[6]검사현황!$G$3</f>
        <v>0</v>
      </c>
      <c r="I13" s="154">
        <f>[6]검사현황!$H$3</f>
        <v>0</v>
      </c>
      <c r="J13" s="154">
        <f>[6]검사현황!$I$3</f>
        <v>0</v>
      </c>
      <c r="K13" s="154">
        <f>[6]검사현황!$J$3</f>
        <v>0</v>
      </c>
      <c r="L13" s="154">
        <f>[6]검사현황!$K$3</f>
        <v>0</v>
      </c>
      <c r="M13" s="154">
        <f>[6]검사현황!$L$3</f>
        <v>1000</v>
      </c>
      <c r="N13" s="154">
        <f>[6]검사현황!$M$3</f>
        <v>0</v>
      </c>
      <c r="O13" s="165">
        <f>SUM(C13:N13)</f>
        <v>3500</v>
      </c>
    </row>
    <row r="14" spans="1:15">
      <c r="A14" s="208"/>
      <c r="B14" s="162" t="s">
        <v>55</v>
      </c>
      <c r="C14" s="166" t="str">
        <f>[6]검사현황!$B$6</f>
        <v>0</v>
      </c>
      <c r="D14" s="166" t="str">
        <f>[6]검사현황!$C$6</f>
        <v>0</v>
      </c>
      <c r="E14" s="166">
        <f>[6]검사현황!$D$6</f>
        <v>20</v>
      </c>
      <c r="F14" s="166" t="str">
        <f>[6]검사현황!$E$6</f>
        <v>0</v>
      </c>
      <c r="G14" s="166" t="str">
        <f>[6]검사현황!$F$6</f>
        <v>0</v>
      </c>
      <c r="H14" s="166" t="str">
        <f>[6]검사현황!$G$6</f>
        <v>0</v>
      </c>
      <c r="I14" s="166" t="str">
        <f>[6]검사현황!$H$6</f>
        <v>0</v>
      </c>
      <c r="J14" s="166" t="str">
        <f>[6]검사현황!$I$6</f>
        <v>0</v>
      </c>
      <c r="K14" s="166" t="str">
        <f>[6]검사현황!$J$6</f>
        <v>0</v>
      </c>
      <c r="L14" s="166" t="str">
        <f>[6]검사현황!$K$6</f>
        <v>0</v>
      </c>
      <c r="M14" s="166">
        <f>[6]검사현황!$L$6</f>
        <v>0</v>
      </c>
      <c r="N14" s="166" t="str">
        <f>[6]검사현황!$M$6</f>
        <v>0</v>
      </c>
      <c r="O14" s="167">
        <f>[6]검사현황!$N$6</f>
        <v>14.285714285714286</v>
      </c>
    </row>
    <row r="15" spans="1:15" ht="16.5" customHeight="1">
      <c r="A15" s="224" t="s">
        <v>59</v>
      </c>
      <c r="B15" s="96" t="s">
        <v>54</v>
      </c>
      <c r="C15" s="97">
        <f>[7]검사현황!$B$3</f>
        <v>0</v>
      </c>
      <c r="D15" s="97">
        <f>[7]검사현황!$C$3</f>
        <v>0</v>
      </c>
      <c r="E15" s="97">
        <f>[7]검사현황!$D$3</f>
        <v>0</v>
      </c>
      <c r="F15" s="97">
        <f>[7]검사현황!$E$3</f>
        <v>3820</v>
      </c>
      <c r="G15" s="97">
        <f>[7]검사현황!$F$3</f>
        <v>0</v>
      </c>
      <c r="H15" s="97">
        <f>[7]검사현황!$G$3</f>
        <v>2117</v>
      </c>
      <c r="I15" s="97">
        <f>[7]검사현황!$H$3</f>
        <v>1000</v>
      </c>
      <c r="J15" s="97">
        <f>[7]검사현황!$I$3</f>
        <v>0</v>
      </c>
      <c r="K15" s="97">
        <f>[7]검사현황!$J$3</f>
        <v>3000</v>
      </c>
      <c r="L15" s="97">
        <f>[7]검사현황!$K$3</f>
        <v>0</v>
      </c>
      <c r="M15" s="97">
        <f>[7]검사현황!$L$3</f>
        <v>0</v>
      </c>
      <c r="N15" s="97">
        <f>[7]검사현황!$M$3</f>
        <v>400</v>
      </c>
      <c r="O15" s="102">
        <f>SUM(C15:N15)</f>
        <v>10337</v>
      </c>
    </row>
    <row r="16" spans="1:15">
      <c r="A16" s="224"/>
      <c r="B16" s="103" t="s">
        <v>55</v>
      </c>
      <c r="C16" s="111" t="str">
        <f>[7]검사현황!$B$6</f>
        <v>0</v>
      </c>
      <c r="D16" s="111" t="str">
        <f>[7]검사현황!$C$6</f>
        <v>0</v>
      </c>
      <c r="E16" s="111" t="str">
        <f>[7]검사현황!$D$6</f>
        <v>0</v>
      </c>
      <c r="F16" s="111">
        <f>[7]검사현황!$E$6</f>
        <v>1.6990291262135921</v>
      </c>
      <c r="G16" s="111" t="str">
        <f>[7]검사현황!$F$6</f>
        <v>0</v>
      </c>
      <c r="H16" s="111">
        <f>[7]검사현황!$G$6</f>
        <v>1.015228426395939</v>
      </c>
      <c r="I16" s="111">
        <f>[7]검사현황!$H$6</f>
        <v>0</v>
      </c>
      <c r="J16" s="111" t="str">
        <f>[7]검사현황!$I$6</f>
        <v>0</v>
      </c>
      <c r="K16" s="111">
        <f>[7]검사현황!$J$6</f>
        <v>0</v>
      </c>
      <c r="L16" s="111" t="str">
        <f>[7]검사현황!$K$6</f>
        <v>0</v>
      </c>
      <c r="M16" s="111" t="str">
        <f>[7]검사현황!$L$6</f>
        <v>0</v>
      </c>
      <c r="N16" s="111">
        <f>[7]검사현황!$M$6</f>
        <v>0</v>
      </c>
      <c r="O16" s="112">
        <f>[7]검사현황!$N$6</f>
        <v>1.0356731875719216</v>
      </c>
    </row>
    <row r="17" spans="1:15" ht="16.5" customHeight="1">
      <c r="A17" s="222" t="s">
        <v>83</v>
      </c>
      <c r="B17" s="153" t="s">
        <v>54</v>
      </c>
      <c r="C17" s="154">
        <f>[8]검사현황!$B$3</f>
        <v>2500</v>
      </c>
      <c r="D17" s="154">
        <f>[8]검사현황!$C$3</f>
        <v>0</v>
      </c>
      <c r="E17" s="154">
        <f>[8]검사현황!$D$3</f>
        <v>0</v>
      </c>
      <c r="F17" s="154">
        <f>[8]검사현황!$E$3</f>
        <v>0</v>
      </c>
      <c r="G17" s="154">
        <f>[8]검사현황!$F$3</f>
        <v>0</v>
      </c>
      <c r="H17" s="154">
        <f>[8]검사현황!$G$3</f>
        <v>0</v>
      </c>
      <c r="I17" s="154">
        <f>[8]검사현황!$H$3</f>
        <v>0</v>
      </c>
      <c r="J17" s="154">
        <f>[8]검사현황!$I$3</f>
        <v>0</v>
      </c>
      <c r="K17" s="154">
        <f>[8]검사현황!$J$3</f>
        <v>0</v>
      </c>
      <c r="L17" s="154">
        <f>[8]검사현황!$K$3</f>
        <v>0</v>
      </c>
      <c r="M17" s="154">
        <f>[8]검사현황!$L$3</f>
        <v>0</v>
      </c>
      <c r="N17" s="154">
        <f>[8]검사현황!$M$3</f>
        <v>0</v>
      </c>
      <c r="O17" s="165">
        <f>SUM(C17:N17)</f>
        <v>2500</v>
      </c>
    </row>
    <row r="18" spans="1:15">
      <c r="A18" s="222"/>
      <c r="B18" s="156" t="s">
        <v>55</v>
      </c>
      <c r="C18" s="168">
        <f>[8]검사현황!$B$6</f>
        <v>0</v>
      </c>
      <c r="D18" s="168" t="str">
        <f>[8]검사현황!$C$6</f>
        <v>0</v>
      </c>
      <c r="E18" s="168" t="str">
        <f>[8]검사현황!$D$6</f>
        <v>0</v>
      </c>
      <c r="F18" s="168" t="str">
        <f>[8]검사현황!$E$6</f>
        <v>0</v>
      </c>
      <c r="G18" s="168" t="str">
        <f>[8]검사현황!$F$6</f>
        <v>0</v>
      </c>
      <c r="H18" s="168" t="str">
        <f>[8]검사현황!$G$6</f>
        <v>0</v>
      </c>
      <c r="I18" s="168" t="str">
        <f>[8]검사현황!$H$6</f>
        <v>0</v>
      </c>
      <c r="J18" s="168" t="str">
        <f>[8]검사현황!$I$6</f>
        <v>0</v>
      </c>
      <c r="K18" s="168" t="str">
        <f>[8]검사현황!$J$6</f>
        <v>0</v>
      </c>
      <c r="L18" s="168" t="str">
        <f>[8]검사현황!$K$6</f>
        <v>0</v>
      </c>
      <c r="M18" s="168" t="str">
        <f>[8]검사현황!$L$6</f>
        <v>0</v>
      </c>
      <c r="N18" s="168" t="str">
        <f>[8]검사현황!$M$6</f>
        <v>0</v>
      </c>
      <c r="O18" s="169">
        <f>[8]검사현황!$N$6</f>
        <v>0</v>
      </c>
    </row>
    <row r="19" spans="1:15" ht="17.25" thickBot="1">
      <c r="A19" s="213" t="s">
        <v>61</v>
      </c>
      <c r="B19" s="96" t="s">
        <v>54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102">
        <f>SUM(C19:N19)</f>
        <v>0</v>
      </c>
    </row>
    <row r="20" spans="1:15" ht="17.25" thickBot="1">
      <c r="A20" s="216"/>
      <c r="B20" s="124" t="s">
        <v>55</v>
      </c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4"/>
    </row>
    <row r="21" spans="1:15">
      <c r="A21" s="218" t="s">
        <v>84</v>
      </c>
      <c r="B21" s="153" t="s">
        <v>54</v>
      </c>
      <c r="C21" s="176">
        <f>[9]검사현황!$B$3</f>
        <v>50000</v>
      </c>
      <c r="D21" s="176">
        <f>[9]검사현황!$C$3</f>
        <v>152000</v>
      </c>
      <c r="E21" s="176">
        <f>[9]검사현황!$D$3</f>
        <v>0</v>
      </c>
      <c r="F21" s="176">
        <f>[9]검사현황!$E$3</f>
        <v>0</v>
      </c>
      <c r="G21" s="176">
        <f>[9]검사현황!$F$3</f>
        <v>0</v>
      </c>
      <c r="H21" s="176">
        <f>[9]검사현황!$G$3</f>
        <v>0</v>
      </c>
      <c r="I21" s="176">
        <f>[9]검사현황!$H$3</f>
        <v>0</v>
      </c>
      <c r="J21" s="176">
        <f>[9]검사현황!$I$3</f>
        <v>0</v>
      </c>
      <c r="K21" s="176">
        <f>[9]검사현황!$J$3</f>
        <v>100000</v>
      </c>
      <c r="L21" s="176">
        <f>[9]검사현황!$K$3</f>
        <v>0</v>
      </c>
      <c r="M21" s="176">
        <f>[9]검사현황!$L$3</f>
        <v>0</v>
      </c>
      <c r="N21" s="176">
        <f>[9]검사현황!$M$3</f>
        <v>0</v>
      </c>
      <c r="O21" s="177">
        <f>[9]검사현황!$N$3</f>
        <v>302000</v>
      </c>
    </row>
    <row r="22" spans="1:15" ht="17.25" thickBot="1">
      <c r="A22" s="219"/>
      <c r="B22" s="162" t="s">
        <v>55</v>
      </c>
      <c r="C22" s="166">
        <f>[9]검사현황!$B$6</f>
        <v>0</v>
      </c>
      <c r="D22" s="166">
        <f>[9]검사현황!$C$6</f>
        <v>0</v>
      </c>
      <c r="E22" s="166" t="str">
        <f>[9]검사현황!$D$6</f>
        <v>0</v>
      </c>
      <c r="F22" s="166" t="str">
        <f>[9]검사현황!$E$6</f>
        <v>0</v>
      </c>
      <c r="G22" s="166" t="str">
        <f>[9]검사현황!$F$6</f>
        <v>0</v>
      </c>
      <c r="H22" s="166" t="str">
        <f>[9]검사현황!$G$6</f>
        <v>0</v>
      </c>
      <c r="I22" s="166" t="str">
        <f>[9]검사현황!$H$6</f>
        <v>0</v>
      </c>
      <c r="J22" s="166" t="str">
        <f>[9]검사현황!$I$6</f>
        <v>0</v>
      </c>
      <c r="K22" s="166">
        <f>[9]검사현황!$J$6</f>
        <v>0</v>
      </c>
      <c r="L22" s="166" t="str">
        <f>[9]검사현황!$K$6</f>
        <v>0</v>
      </c>
      <c r="M22" s="166" t="str">
        <f>[9]검사현황!$L$6</f>
        <v>0</v>
      </c>
      <c r="N22" s="166" t="str">
        <f>[9]검사현황!$M$6</f>
        <v>0</v>
      </c>
      <c r="O22" s="167">
        <f>[9]검사현황!$N$6</f>
        <v>0</v>
      </c>
    </row>
    <row r="23" spans="1:15">
      <c r="A23" s="206" t="s">
        <v>36</v>
      </c>
      <c r="B23" s="107" t="s">
        <v>54</v>
      </c>
      <c r="C23" s="179">
        <f>[10]검사현황!$B$3</f>
        <v>0</v>
      </c>
      <c r="D23" s="179">
        <f>[10]검사현황!$C$3</f>
        <v>17066</v>
      </c>
      <c r="E23" s="179">
        <f>[10]검사현황!$D$3</f>
        <v>3000</v>
      </c>
      <c r="F23" s="179">
        <f>[10]검사현황!$E$3</f>
        <v>0</v>
      </c>
      <c r="G23" s="179">
        <f>[10]검사현황!$F$3</f>
        <v>0</v>
      </c>
      <c r="H23" s="179">
        <f>[10]검사현황!$G$3</f>
        <v>0</v>
      </c>
      <c r="I23" s="179">
        <f>[10]검사현황!$H$3</f>
        <v>4000</v>
      </c>
      <c r="J23" s="179">
        <f>[10]검사현황!$I$3</f>
        <v>0</v>
      </c>
      <c r="K23" s="179">
        <f>[10]검사현황!$J$3</f>
        <v>0</v>
      </c>
      <c r="L23" s="179">
        <f>[10]검사현황!$K$3</f>
        <v>0</v>
      </c>
      <c r="M23" s="179">
        <f>[10]검사현황!$L$3</f>
        <v>0</v>
      </c>
      <c r="N23" s="179">
        <f>[10]검사현황!$M$3</f>
        <v>0</v>
      </c>
      <c r="O23" s="108">
        <f>SUM(C23:N23)</f>
        <v>24066</v>
      </c>
    </row>
    <row r="24" spans="1:15" ht="17.25" thickBot="1">
      <c r="A24" s="206"/>
      <c r="B24" s="99" t="s">
        <v>55</v>
      </c>
      <c r="C24" s="178" t="str">
        <f>[10]검사현황!$B$6</f>
        <v>0</v>
      </c>
      <c r="D24" s="178">
        <f>[10]검사현황!$C$6</f>
        <v>0</v>
      </c>
      <c r="E24" s="178">
        <f>[10]검사현황!$D$6</f>
        <v>0</v>
      </c>
      <c r="F24" s="178" t="str">
        <f>[10]검사현황!$E$6</f>
        <v>0</v>
      </c>
      <c r="G24" s="178" t="str">
        <f>[10]검사현황!$F$6</f>
        <v>0</v>
      </c>
      <c r="H24" s="178" t="str">
        <f>[10]검사현황!$G$6</f>
        <v>0</v>
      </c>
      <c r="I24" s="178">
        <f>[10]검사현황!$H$6</f>
        <v>0</v>
      </c>
      <c r="J24" s="178" t="str">
        <f>[10]검사현황!$I$6</f>
        <v>0</v>
      </c>
      <c r="K24" s="178" t="str">
        <f>[10]검사현황!$J$6</f>
        <v>0</v>
      </c>
      <c r="L24" s="178" t="str">
        <f>[10]검사현황!$K$6</f>
        <v>0</v>
      </c>
      <c r="M24" s="178" t="str">
        <f>[10]검사현황!$L$6</f>
        <v>0</v>
      </c>
      <c r="N24" s="178" t="str">
        <f>[10]검사현황!$M$6</f>
        <v>0</v>
      </c>
      <c r="O24" s="114">
        <f>[10]검사현황!$N$6</f>
        <v>0</v>
      </c>
    </row>
    <row r="25" spans="1:15">
      <c r="A25" s="214" t="s">
        <v>97</v>
      </c>
      <c r="B25" s="126" t="s">
        <v>54</v>
      </c>
      <c r="C25" s="185">
        <f>[11]검사현황!$B$3</f>
        <v>0</v>
      </c>
      <c r="D25" s="185">
        <f>[11]검사현황!$C$3</f>
        <v>0</v>
      </c>
      <c r="E25" s="185">
        <f>[11]검사현황!$D$3</f>
        <v>0</v>
      </c>
      <c r="F25" s="185">
        <f>[11]검사현황!$E$3</f>
        <v>0</v>
      </c>
      <c r="G25" s="185">
        <f>[11]검사현황!$F$3</f>
        <v>0</v>
      </c>
      <c r="H25" s="185">
        <f>[11]검사현황!$G$3</f>
        <v>0</v>
      </c>
      <c r="I25" s="185">
        <f>[11]검사현황!$H$3</f>
        <v>0</v>
      </c>
      <c r="J25" s="185">
        <f>[11]검사현황!$I$3</f>
        <v>0</v>
      </c>
      <c r="K25" s="185">
        <f>[11]검사현황!$J$3</f>
        <v>28000</v>
      </c>
      <c r="L25" s="185">
        <f>[11]검사현황!$K$3</f>
        <v>0</v>
      </c>
      <c r="M25" s="185">
        <f>[11]검사현황!$L$3</f>
        <v>0</v>
      </c>
      <c r="N25" s="185">
        <f>[11]검사현황!$M$3</f>
        <v>0</v>
      </c>
      <c r="O25" s="102">
        <f>SUM(C25:N25)</f>
        <v>28000</v>
      </c>
    </row>
    <row r="26" spans="1:15" ht="17.25" thickBot="1">
      <c r="A26" s="215"/>
      <c r="B26" s="128" t="s">
        <v>55</v>
      </c>
      <c r="C26" s="186" t="str">
        <f>[11]검사현황!$B$6</f>
        <v>0</v>
      </c>
      <c r="D26" s="186" t="str">
        <f>[11]검사현황!$C$6</f>
        <v>0</v>
      </c>
      <c r="E26" s="186" t="str">
        <f>[11]검사현황!$D$6</f>
        <v>0</v>
      </c>
      <c r="F26" s="186" t="str">
        <f>[11]검사현황!$E$6</f>
        <v>0</v>
      </c>
      <c r="G26" s="186" t="str">
        <f>[11]검사현황!$F$6</f>
        <v>0</v>
      </c>
      <c r="H26" s="186" t="str">
        <f>[11]검사현황!$G$6</f>
        <v>0</v>
      </c>
      <c r="I26" s="186" t="str">
        <f>[11]검사현황!$H$6</f>
        <v>0</v>
      </c>
      <c r="J26" s="186" t="str">
        <f>[11]검사현황!$I$6</f>
        <v>0</v>
      </c>
      <c r="K26" s="186">
        <f>[11]검사현황!$J$6</f>
        <v>0</v>
      </c>
      <c r="L26" s="186" t="str">
        <f>[11]검사현황!$K$6</f>
        <v>0</v>
      </c>
      <c r="M26" s="186" t="str">
        <f>[11]검사현황!$L$6</f>
        <v>0</v>
      </c>
      <c r="N26" s="186" t="str">
        <f>[11]검사현황!$M$6</f>
        <v>0</v>
      </c>
      <c r="O26" s="112">
        <f>[11]검사현황!$N$6</f>
        <v>0</v>
      </c>
    </row>
    <row r="27" spans="1:15" ht="17.25" thickBot="1">
      <c r="A27" s="207" t="s">
        <v>62</v>
      </c>
      <c r="B27" s="159" t="s">
        <v>54</v>
      </c>
      <c r="C27" s="183">
        <f>[12]검사현황!$B$3</f>
        <v>0</v>
      </c>
      <c r="D27" s="183">
        <f>[12]검사현황!$C$3</f>
        <v>0</v>
      </c>
      <c r="E27" s="183">
        <f>[12]검사현황!$D$3</f>
        <v>0</v>
      </c>
      <c r="F27" s="183">
        <f>[12]검사현황!$E$3</f>
        <v>0</v>
      </c>
      <c r="G27" s="183">
        <f>[12]검사현황!$F$3</f>
        <v>0</v>
      </c>
      <c r="H27" s="183">
        <f>[12]검사현황!$G$3</f>
        <v>0</v>
      </c>
      <c r="I27" s="184">
        <f>[12]검사현황!$H$3</f>
        <v>0</v>
      </c>
      <c r="J27" s="183">
        <f>[12]검사현황!$I$3</f>
        <v>0</v>
      </c>
      <c r="K27" s="183">
        <f>[12]검사현황!$J$3</f>
        <v>500</v>
      </c>
      <c r="L27" s="183">
        <f>[12]검사현황!$K$3</f>
        <v>0</v>
      </c>
      <c r="M27" s="183">
        <f>[12]검사현황!$L$3</f>
        <v>2000</v>
      </c>
      <c r="N27" s="183">
        <f>[12]검사현황!$M$3</f>
        <v>0</v>
      </c>
      <c r="O27" s="161">
        <f>SUM(C27:N27)</f>
        <v>2500</v>
      </c>
    </row>
    <row r="28" spans="1:15" ht="17.25" thickBot="1">
      <c r="A28" s="208"/>
      <c r="B28" s="162" t="s">
        <v>55</v>
      </c>
      <c r="C28" s="166" t="str">
        <f>[12]검사현황!$B$6</f>
        <v>0</v>
      </c>
      <c r="D28" s="166" t="str">
        <f>[12]검사현황!$C$6</f>
        <v>0</v>
      </c>
      <c r="E28" s="166" t="str">
        <f>[12]검사현황!$D$6</f>
        <v>0</v>
      </c>
      <c r="F28" s="166" t="str">
        <f>[12]검사현황!$E$6</f>
        <v>0</v>
      </c>
      <c r="G28" s="166" t="str">
        <f>[12]검사현황!$F$6</f>
        <v>0</v>
      </c>
      <c r="H28" s="166" t="str">
        <f>[12]검사현황!$G$6</f>
        <v>0</v>
      </c>
      <c r="I28" s="166" t="str">
        <f>[12]검사현황!$H$6</f>
        <v>0</v>
      </c>
      <c r="J28" s="166" t="str">
        <f>[12]검사현황!$I$6</f>
        <v>0</v>
      </c>
      <c r="K28" s="166">
        <f>[12]검사현황!$J$6</f>
        <v>12</v>
      </c>
      <c r="L28" s="166" t="str">
        <f>[12]검사현황!$K$6</f>
        <v>0</v>
      </c>
      <c r="M28" s="166">
        <f>[12]검사현황!$L$6</f>
        <v>0</v>
      </c>
      <c r="N28" s="166" t="str">
        <f>[12]검사현황!$M$6</f>
        <v>0</v>
      </c>
      <c r="O28" s="167"/>
    </row>
    <row r="29" spans="1:15">
      <c r="A29" t="s">
        <v>63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47" spans="1:15">
      <c r="A47" s="211" t="s">
        <v>64</v>
      </c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</row>
    <row r="48" spans="1:15">
      <c r="A48" s="115" t="s">
        <v>65</v>
      </c>
      <c r="B48" s="116"/>
      <c r="C48" s="117">
        <v>1</v>
      </c>
      <c r="D48" s="117">
        <v>2</v>
      </c>
      <c r="E48" s="117">
        <v>3</v>
      </c>
      <c r="F48" s="117">
        <v>4</v>
      </c>
      <c r="G48" s="117">
        <v>5</v>
      </c>
      <c r="H48" s="117">
        <v>6</v>
      </c>
      <c r="I48" s="117">
        <v>7</v>
      </c>
      <c r="J48" s="117">
        <v>8</v>
      </c>
      <c r="K48" s="117">
        <v>9</v>
      </c>
      <c r="L48" s="117">
        <v>10</v>
      </c>
      <c r="M48" s="117">
        <v>11</v>
      </c>
      <c r="N48" s="118">
        <v>12</v>
      </c>
      <c r="O48" s="119" t="s">
        <v>52</v>
      </c>
    </row>
    <row r="49" spans="1:18" ht="17.25" thickBot="1">
      <c r="A49" s="209" t="str">
        <f>A3</f>
        <v>CNB</v>
      </c>
      <c r="B49" s="120" t="s">
        <v>66</v>
      </c>
      <c r="C49" s="121">
        <f>[1]검사현황!$B$25</f>
        <v>2</v>
      </c>
      <c r="D49" s="121">
        <f>[1]검사현황!$C$25</f>
        <v>0</v>
      </c>
      <c r="E49" s="121">
        <f>[1]검사현황!$D$25</f>
        <v>6</v>
      </c>
      <c r="F49" s="121">
        <f>[1]검사현황!$E$25</f>
        <v>2</v>
      </c>
      <c r="G49" s="121">
        <f>[1]검사현황!$F$25</f>
        <v>2</v>
      </c>
      <c r="H49" s="121">
        <f>[1]검사현황!$G$25</f>
        <v>0</v>
      </c>
      <c r="I49" s="121">
        <f>[1]검사현황!$H$25</f>
        <v>2</v>
      </c>
      <c r="J49" s="121">
        <f>[1]검사현황!$I$25</f>
        <v>1</v>
      </c>
      <c r="K49" s="121">
        <f>[1]검사현황!$J$25</f>
        <v>6</v>
      </c>
      <c r="L49" s="121">
        <f>[1]검사현황!$K$25</f>
        <v>2</v>
      </c>
      <c r="M49" s="121">
        <f>[1]검사현황!$L$25</f>
        <v>0</v>
      </c>
      <c r="N49" s="121">
        <f>[1]검사현황!$M$25</f>
        <v>3</v>
      </c>
      <c r="O49" s="122">
        <f>SUM(C49:N49)</f>
        <v>26</v>
      </c>
    </row>
    <row r="50" spans="1:18" ht="17.25" thickBot="1">
      <c r="A50" s="209"/>
      <c r="B50" s="123" t="s">
        <v>67</v>
      </c>
      <c r="C50" s="190">
        <f>[1]검사현황!$B$28</f>
        <v>0</v>
      </c>
      <c r="D50" s="190" t="str">
        <f>[1]검사현황!$C$28</f>
        <v>0</v>
      </c>
      <c r="E50" s="190">
        <f>[1]검사현황!$D$28</f>
        <v>0</v>
      </c>
      <c r="F50" s="190">
        <f>[1]검사현황!$E$28</f>
        <v>0</v>
      </c>
      <c r="G50" s="190">
        <f>[1]검사현황!$F$28</f>
        <v>0</v>
      </c>
      <c r="H50" s="190" t="str">
        <f>[1]검사현황!$G$28</f>
        <v>0</v>
      </c>
      <c r="I50" s="190">
        <f>[1]검사현황!$H$28</f>
        <v>0</v>
      </c>
      <c r="J50" s="190">
        <f>[1]검사현황!$I$28</f>
        <v>0</v>
      </c>
      <c r="K50" s="190">
        <f>[1]검사현황!$J$28</f>
        <v>0</v>
      </c>
      <c r="L50" s="190">
        <f>[1]검사현황!$K$28</f>
        <v>0</v>
      </c>
      <c r="M50" s="190" t="str">
        <f>[1]검사현황!$L$28</f>
        <v>0</v>
      </c>
      <c r="N50" s="190">
        <f>[1]검사현황!$M$28</f>
        <v>33.333333333333336</v>
      </c>
      <c r="O50" s="191">
        <f>[1]검사현황!$N$28</f>
        <v>3.8461538461538463</v>
      </c>
      <c r="Q50" s="192" t="s">
        <v>99</v>
      </c>
      <c r="R50" s="193">
        <f>O49+O51+O53+O55+O57+O59+O61+O63+O67+O69+O71+O73</f>
        <v>208</v>
      </c>
    </row>
    <row r="51" spans="1:18" ht="17.25" thickBot="1">
      <c r="A51" s="210" t="str">
        <f>A5</f>
        <v>미래 ENG</v>
      </c>
      <c r="B51" s="153" t="s">
        <v>66</v>
      </c>
      <c r="C51" s="153">
        <f>[2]검사현황!$B$25</f>
        <v>0</v>
      </c>
      <c r="D51" s="153">
        <f>[2]검사현황!$C$25</f>
        <v>5</v>
      </c>
      <c r="E51" s="153">
        <f>[2]검사현황!$D$25</f>
        <v>5</v>
      </c>
      <c r="F51" s="153">
        <f>[2]검사현황!$E$25</f>
        <v>19</v>
      </c>
      <c r="G51" s="153">
        <f>[2]검사현황!$F$25</f>
        <v>0</v>
      </c>
      <c r="H51" s="153">
        <f>[2]검사현황!$G$25</f>
        <v>4</v>
      </c>
      <c r="I51" s="153">
        <f>[2]검사현황!$H$25</f>
        <v>0</v>
      </c>
      <c r="J51" s="153">
        <f>[2]검사현황!$I$25</f>
        <v>3</v>
      </c>
      <c r="K51" s="153">
        <f>[2]검사현황!$J$25</f>
        <v>14</v>
      </c>
      <c r="L51" s="153">
        <f>[2]검사현황!$K$25</f>
        <v>0</v>
      </c>
      <c r="M51" s="153">
        <f>[2]검사현황!$L$25</f>
        <v>0</v>
      </c>
      <c r="N51" s="153">
        <f>[2]검사현황!$M$25</f>
        <v>2</v>
      </c>
      <c r="O51" s="172">
        <f>SUM(C51:N51)</f>
        <v>52</v>
      </c>
      <c r="Q51" s="180" t="s">
        <v>100</v>
      </c>
      <c r="R51" s="122">
        <v>1</v>
      </c>
    </row>
    <row r="52" spans="1:18" ht="17.25" thickBot="1">
      <c r="A52" s="210"/>
      <c r="B52" s="162" t="s">
        <v>67</v>
      </c>
      <c r="C52" s="173" t="str">
        <f>[2]검사현황!$B$28</f>
        <v>0</v>
      </c>
      <c r="D52" s="173">
        <f>[2]검사현황!$C$28</f>
        <v>20</v>
      </c>
      <c r="E52" s="173">
        <f>[2]검사현황!$D$28</f>
        <v>0</v>
      </c>
      <c r="F52" s="173">
        <f>[2]검사현황!$E$28</f>
        <v>5.2631578947368425</v>
      </c>
      <c r="G52" s="173" t="str">
        <f>[2]검사현황!$F$28</f>
        <v>0</v>
      </c>
      <c r="H52" s="173">
        <f>[2]검사현황!$G$28</f>
        <v>0</v>
      </c>
      <c r="I52" s="173" t="str">
        <f>[2]검사현황!$H$28</f>
        <v>0</v>
      </c>
      <c r="J52" s="173">
        <f>[2]검사현황!$I$28</f>
        <v>0</v>
      </c>
      <c r="K52" s="173">
        <f>[2]검사현황!$J$28</f>
        <v>0</v>
      </c>
      <c r="L52" s="173" t="str">
        <f>[2]검사현황!$K$28</f>
        <v>0</v>
      </c>
      <c r="M52" s="173" t="str">
        <f>[2]검사현황!$L$28</f>
        <v>0</v>
      </c>
      <c r="N52" s="173">
        <f>[2]검사현황!$M$28</f>
        <v>0</v>
      </c>
      <c r="O52" s="174">
        <f>[2]검사현황!$N$28</f>
        <v>3.8461538461538463</v>
      </c>
      <c r="Q52" s="194" t="s">
        <v>101</v>
      </c>
      <c r="R52" s="195">
        <f>R51*100/R50</f>
        <v>0.48076923076923078</v>
      </c>
    </row>
    <row r="53" spans="1:18" ht="17.25" thickBot="1">
      <c r="A53" s="209" t="str">
        <f>A7</f>
        <v>메탈 팩토리</v>
      </c>
      <c r="B53" s="96" t="s">
        <v>66</v>
      </c>
      <c r="C53" s="126">
        <f>[3]검사현황!$B$25</f>
        <v>11</v>
      </c>
      <c r="D53" s="126">
        <f>[3]검사현황!$C$25</f>
        <v>5</v>
      </c>
      <c r="E53" s="126">
        <f>[3]검사현황!$D$25</f>
        <v>4</v>
      </c>
      <c r="F53" s="126">
        <f>[3]검사현황!$E$25</f>
        <v>2</v>
      </c>
      <c r="G53" s="126">
        <f>[3]검사현황!$F$25</f>
        <v>6</v>
      </c>
      <c r="H53" s="126">
        <f>[3]검사현황!$G$25</f>
        <v>2</v>
      </c>
      <c r="I53" s="126">
        <f>[3]검사현황!$H$25</f>
        <v>6</v>
      </c>
      <c r="J53" s="126">
        <f>[3]검사현황!$I$25</f>
        <v>7</v>
      </c>
      <c r="K53" s="126">
        <f>[3]검사현황!$J$25</f>
        <v>4</v>
      </c>
      <c r="L53" s="126">
        <f>[3]검사현황!$K$25</f>
        <v>10</v>
      </c>
      <c r="M53" s="126">
        <f>[3]검사현황!$L$25</f>
        <v>2</v>
      </c>
      <c r="N53" s="126">
        <f>[3]검사현황!$M$25</f>
        <v>5</v>
      </c>
      <c r="O53" s="127">
        <f>SUM(C53:N53)</f>
        <v>64</v>
      </c>
    </row>
    <row r="54" spans="1:18">
      <c r="A54" s="209"/>
      <c r="B54" s="103" t="s">
        <v>67</v>
      </c>
      <c r="C54" s="124">
        <f>[3]검사현황!$B$28</f>
        <v>0</v>
      </c>
      <c r="D54" s="125">
        <f>[3]검사현황!$C$28</f>
        <v>20</v>
      </c>
      <c r="E54" s="125">
        <f>[3]검사현황!$D$28</f>
        <v>0</v>
      </c>
      <c r="F54" s="125">
        <f>[3]검사현황!$E$28</f>
        <v>50</v>
      </c>
      <c r="G54" s="125">
        <f>[3]검사현황!$F$28</f>
        <v>0</v>
      </c>
      <c r="H54" s="125">
        <f>[3]검사현황!$G$28</f>
        <v>0</v>
      </c>
      <c r="I54" s="125">
        <f>[3]검사현황!$H$28</f>
        <v>16.666666666666668</v>
      </c>
      <c r="J54" s="124">
        <f>[3]검사현황!$I$28</f>
        <v>0</v>
      </c>
      <c r="K54" s="125">
        <f>[3]검사현황!$J$28</f>
        <v>0</v>
      </c>
      <c r="L54" s="124">
        <f>[3]검사현황!$K$28</f>
        <v>0</v>
      </c>
      <c r="M54" s="125">
        <f>[3]검사현황!$L$28</f>
        <v>0</v>
      </c>
      <c r="N54" s="125">
        <f>[3]검사현황!$M$28</f>
        <v>20</v>
      </c>
      <c r="O54" s="110">
        <f>[3]검사현황!$N$28</f>
        <v>6.25</v>
      </c>
    </row>
    <row r="55" spans="1:18">
      <c r="A55" s="210" t="str">
        <f>A9</f>
        <v>전진로링</v>
      </c>
      <c r="B55" s="153" t="s">
        <v>66</v>
      </c>
      <c r="C55" s="154">
        <f>[4]검사현황!$B$25</f>
        <v>2</v>
      </c>
      <c r="D55" s="154">
        <f>[4]검사현황!$C$25</f>
        <v>0</v>
      </c>
      <c r="E55" s="154">
        <f>[4]검사현황!$D$25</f>
        <v>2</v>
      </c>
      <c r="F55" s="154">
        <f>[4]검사현황!$E$25</f>
        <v>0</v>
      </c>
      <c r="G55" s="154">
        <f>[4]검사현황!$F$25</f>
        <v>1</v>
      </c>
      <c r="H55" s="154">
        <f>[4]검사현황!$G$25</f>
        <v>0</v>
      </c>
      <c r="I55" s="154">
        <f>[4]검사현황!$H$25</f>
        <v>1</v>
      </c>
      <c r="J55" s="154">
        <f>[4]검사현황!$I$25</f>
        <v>2</v>
      </c>
      <c r="K55" s="154">
        <f>[4]검사현황!$J$25</f>
        <v>1</v>
      </c>
      <c r="L55" s="154">
        <f>[4]검사현황!$K$25</f>
        <v>2</v>
      </c>
      <c r="M55" s="154">
        <f>[4]검사현황!$L$25</f>
        <v>0</v>
      </c>
      <c r="N55" s="154">
        <f>[4]검사현황!$M$25</f>
        <v>4</v>
      </c>
      <c r="O55" s="165">
        <f>SUM(C55:N55)</f>
        <v>15</v>
      </c>
    </row>
    <row r="56" spans="1:18">
      <c r="A56" s="210"/>
      <c r="B56" s="156" t="s">
        <v>67</v>
      </c>
      <c r="C56" s="156">
        <f>[4]검사현황!$B$28</f>
        <v>0</v>
      </c>
      <c r="D56" s="156" t="str">
        <f>[4]검사현황!$C$28</f>
        <v>0</v>
      </c>
      <c r="E56" s="156">
        <f>[4]검사현황!$D$28</f>
        <v>0</v>
      </c>
      <c r="F56" s="156" t="str">
        <f>[4]검사현황!$E$28</f>
        <v>0</v>
      </c>
      <c r="G56" s="156">
        <f>[4]검사현황!$F$28</f>
        <v>0</v>
      </c>
      <c r="H56" s="156" t="str">
        <f>[4]검사현황!$G$28</f>
        <v>0</v>
      </c>
      <c r="I56" s="156">
        <f>[4]검사현황!$H$28</f>
        <v>0</v>
      </c>
      <c r="J56" s="156">
        <f>[4]검사현황!$I$28</f>
        <v>0</v>
      </c>
      <c r="K56" s="156">
        <f>[4]검사현황!$J$28</f>
        <v>0</v>
      </c>
      <c r="L56" s="156">
        <f>[4]검사현황!$K$28</f>
        <v>0</v>
      </c>
      <c r="M56" s="156" t="str">
        <f>[4]검사현황!$L$28</f>
        <v>0</v>
      </c>
      <c r="N56" s="156">
        <f>[4]검사현황!$M$28</f>
        <v>0</v>
      </c>
      <c r="O56" s="158">
        <f>[4]검사현황!$N$28</f>
        <v>0</v>
      </c>
    </row>
    <row r="57" spans="1:18">
      <c r="A57" s="209" t="str">
        <f>A11</f>
        <v>시대전자</v>
      </c>
      <c r="B57" s="96" t="s">
        <v>66</v>
      </c>
      <c r="C57" s="97">
        <f>[5]검사현황!$B$25</f>
        <v>0</v>
      </c>
      <c r="D57" s="97">
        <f>[5]검사현황!$C$25</f>
        <v>0</v>
      </c>
      <c r="E57" s="97">
        <f>[5]검사현황!$D$25</f>
        <v>2</v>
      </c>
      <c r="F57" s="97">
        <f>[5]검사현황!$E$25</f>
        <v>3</v>
      </c>
      <c r="G57" s="97">
        <f>[5]검사현황!$F$25</f>
        <v>0</v>
      </c>
      <c r="H57" s="97">
        <f>[5]검사현황!$G$25</f>
        <v>0</v>
      </c>
      <c r="I57" s="97">
        <f>[5]검사현황!$H$25</f>
        <v>0</v>
      </c>
      <c r="J57" s="97">
        <f>[5]검사현황!$I$25</f>
        <v>0</v>
      </c>
      <c r="K57" s="97">
        <f>[5]검사현황!$J$25</f>
        <v>2</v>
      </c>
      <c r="L57" s="97">
        <f>[5]검사현황!$K$25</f>
        <v>1</v>
      </c>
      <c r="M57" s="97">
        <f>[5]검사현황!$L$25</f>
        <v>0</v>
      </c>
      <c r="N57" s="97">
        <f>[5]검사현황!$M$25</f>
        <v>0</v>
      </c>
      <c r="O57" s="102">
        <f>SUM(C57:N57)</f>
        <v>8</v>
      </c>
    </row>
    <row r="58" spans="1:18">
      <c r="A58" s="209"/>
      <c r="B58" s="103" t="s">
        <v>67</v>
      </c>
      <c r="C58" s="128" t="str">
        <f>[5]검사현황!$B$28</f>
        <v>0</v>
      </c>
      <c r="D58" s="128" t="str">
        <f>[5]검사현황!$C$28</f>
        <v>0</v>
      </c>
      <c r="E58" s="128">
        <f>[5]검사현황!$D$28</f>
        <v>0</v>
      </c>
      <c r="F58" s="128">
        <f>[5]검사현황!$E$28</f>
        <v>0</v>
      </c>
      <c r="G58" s="128" t="str">
        <f>[5]검사현황!$F$28</f>
        <v>0</v>
      </c>
      <c r="H58" s="128" t="str">
        <f>[5]검사현황!$G$28</f>
        <v>0</v>
      </c>
      <c r="I58" s="128" t="str">
        <f>[5]검사현황!$H$28</f>
        <v>0</v>
      </c>
      <c r="J58" s="128" t="str">
        <f>[5]검사현황!$I$28</f>
        <v>0</v>
      </c>
      <c r="K58" s="128">
        <f>[5]검사현황!$J$28</f>
        <v>0</v>
      </c>
      <c r="L58" s="128">
        <f>[5]검사현황!$K$28</f>
        <v>0</v>
      </c>
      <c r="M58" s="128" t="str">
        <f>[5]검사현황!$L$28</f>
        <v>0</v>
      </c>
      <c r="N58" s="128" t="str">
        <f>[5]검사현황!$M$28</f>
        <v>0</v>
      </c>
      <c r="O58" s="110"/>
    </row>
    <row r="59" spans="1:18">
      <c r="A59" s="210" t="str">
        <f>A13</f>
        <v>일흥테크</v>
      </c>
      <c r="B59" s="153" t="s">
        <v>66</v>
      </c>
      <c r="C59" s="154">
        <f>[6]검사현황!$B$25</f>
        <v>0</v>
      </c>
      <c r="D59" s="154">
        <f>[6]검사현황!$C$25</f>
        <v>0</v>
      </c>
      <c r="E59" s="154">
        <f>[6]검사현황!$D$25</f>
        <v>5</v>
      </c>
      <c r="F59" s="154">
        <f>[6]검사현황!$E$25</f>
        <v>0</v>
      </c>
      <c r="G59" s="154">
        <f>[6]검사현황!$F$25</f>
        <v>0</v>
      </c>
      <c r="H59" s="154">
        <f>[6]검사현황!$G$25</f>
        <v>0</v>
      </c>
      <c r="I59" s="154">
        <f>[6]검사현황!$H$25</f>
        <v>0</v>
      </c>
      <c r="J59" s="154">
        <f>[6]검사현황!$I$25</f>
        <v>0</v>
      </c>
      <c r="K59" s="154">
        <f>[6]검사현황!$J$25</f>
        <v>0</v>
      </c>
      <c r="L59" s="154">
        <f>[6]검사현황!$K$25</f>
        <v>0</v>
      </c>
      <c r="M59" s="154">
        <f>[6]검사현황!$L$25</f>
        <v>2</v>
      </c>
      <c r="N59" s="154">
        <f>[6]검사현황!$M$25</f>
        <v>0</v>
      </c>
      <c r="O59" s="165">
        <f>SUM(C59:N59)</f>
        <v>7</v>
      </c>
    </row>
    <row r="60" spans="1:18">
      <c r="A60" s="210"/>
      <c r="B60" s="162" t="s">
        <v>67</v>
      </c>
      <c r="C60" s="156" t="str">
        <f>[6]검사현황!$B$28</f>
        <v>0</v>
      </c>
      <c r="D60" s="156" t="str">
        <f>[6]검사현황!$C$28</f>
        <v>0</v>
      </c>
      <c r="E60" s="156">
        <f>[6]검사현황!$D$27</f>
        <v>1</v>
      </c>
      <c r="F60" s="156" t="str">
        <f>[6]검사현황!$E$28</f>
        <v>0</v>
      </c>
      <c r="G60" s="156" t="str">
        <f>[6]검사현황!$F$28</f>
        <v>0</v>
      </c>
      <c r="H60" s="156" t="str">
        <f>[6]검사현황!$G$28</f>
        <v>0</v>
      </c>
      <c r="I60" s="156" t="str">
        <f>[6]검사현황!$H$28</f>
        <v>0</v>
      </c>
      <c r="J60" s="156" t="str">
        <f>[6]검사현황!$I$28</f>
        <v>0</v>
      </c>
      <c r="K60" s="156" t="str">
        <f>[6]검사현황!$J$28</f>
        <v>0</v>
      </c>
      <c r="L60" s="156" t="str">
        <f>[6]검사현황!$K$28</f>
        <v>0</v>
      </c>
      <c r="M60" s="173">
        <f>[6]검사현황!$L$28</f>
        <v>0</v>
      </c>
      <c r="N60" s="156" t="str">
        <f>[6]검사현황!$M$28</f>
        <v>0</v>
      </c>
      <c r="O60" s="164">
        <f>[6]검사현황!$N$28</f>
        <v>14.285714285714285</v>
      </c>
    </row>
    <row r="61" spans="1:18">
      <c r="A61" s="209" t="str">
        <f>A15</f>
        <v>시너지테크</v>
      </c>
      <c r="B61" s="96" t="s">
        <v>66</v>
      </c>
      <c r="C61" s="97">
        <f>[7]검사현황!$B$25</f>
        <v>0</v>
      </c>
      <c r="D61" s="97">
        <f>[7]검사현황!$C$25</f>
        <v>0</v>
      </c>
      <c r="E61" s="97">
        <f>[7]검사현황!$D$25</f>
        <v>0</v>
      </c>
      <c r="F61" s="97">
        <f>[7]검사현황!$E$25</f>
        <v>3</v>
      </c>
      <c r="G61" s="97">
        <f>[7]검사현황!$F$25</f>
        <v>0</v>
      </c>
      <c r="H61" s="97">
        <f>[7]검사현황!$G$25</f>
        <v>2</v>
      </c>
      <c r="I61" s="97">
        <f>[7]검사현황!$H$25</f>
        <v>1</v>
      </c>
      <c r="J61" s="97">
        <f>[7]검사현황!$I$25</f>
        <v>0</v>
      </c>
      <c r="K61" s="97">
        <f>[7]검사현황!$J$25</f>
        <v>2</v>
      </c>
      <c r="L61" s="97">
        <f>[7]검사현황!$K$25</f>
        <v>0</v>
      </c>
      <c r="M61" s="97">
        <f>[7]검사현황!$L$25</f>
        <v>0</v>
      </c>
      <c r="N61" s="97">
        <f>[7]검사현황!$M$25</f>
        <v>1</v>
      </c>
      <c r="O61" s="102">
        <f>SUM(C61:N61)</f>
        <v>9</v>
      </c>
    </row>
    <row r="62" spans="1:18">
      <c r="A62" s="209"/>
      <c r="B62" s="103" t="s">
        <v>67</v>
      </c>
      <c r="C62" s="128" t="str">
        <f>[7]검사현황!$B$28</f>
        <v>0</v>
      </c>
      <c r="D62" s="128" t="str">
        <f>[7]검사현황!$C$28</f>
        <v>0</v>
      </c>
      <c r="E62" s="128" t="str">
        <f>[7]검사현황!$D$28</f>
        <v>0</v>
      </c>
      <c r="F62" s="128">
        <f>[7]검사현황!$E$28</f>
        <v>0</v>
      </c>
      <c r="G62" s="128" t="str">
        <f>[7]검사현황!$F$28</f>
        <v>0</v>
      </c>
      <c r="H62" s="128">
        <f>[7]검사현황!$G$28</f>
        <v>0</v>
      </c>
      <c r="I62" s="128">
        <f>[7]검사현황!$H$28</f>
        <v>0</v>
      </c>
      <c r="J62" s="128" t="str">
        <f>[7]검사현황!$I$28</f>
        <v>0</v>
      </c>
      <c r="K62" s="128">
        <f>[7]검사현황!$J$28</f>
        <v>0</v>
      </c>
      <c r="L62" s="128" t="str">
        <f>[7]검사현황!$K$28</f>
        <v>0</v>
      </c>
      <c r="M62" s="128" t="str">
        <f>[7]검사현황!$L$28</f>
        <v>0</v>
      </c>
      <c r="N62" s="128">
        <f>[7]검사현황!$M$28</f>
        <v>0</v>
      </c>
      <c r="O62" s="110">
        <f>[7]검사현황!$N$28</f>
        <v>0</v>
      </c>
    </row>
    <row r="63" spans="1:18">
      <c r="A63" s="212" t="str">
        <f>A17</f>
        <v>천호금속</v>
      </c>
      <c r="B63" s="153" t="s">
        <v>66</v>
      </c>
      <c r="C63" s="154">
        <f>[8]검사현황!$B$25</f>
        <v>5</v>
      </c>
      <c r="D63" s="154">
        <f>[8]검사현황!$C$25</f>
        <v>0</v>
      </c>
      <c r="E63" s="154">
        <f>[8]검사현황!$D$25</f>
        <v>0</v>
      </c>
      <c r="F63" s="154">
        <f>[8]검사현황!$E$25</f>
        <v>0</v>
      </c>
      <c r="G63" s="154">
        <f>[8]검사현황!$F$25</f>
        <v>0</v>
      </c>
      <c r="H63" s="154">
        <f>[8]검사현황!$G$25</f>
        <v>0</v>
      </c>
      <c r="I63" s="154">
        <f>[8]검사현황!$H$25</f>
        <v>0</v>
      </c>
      <c r="J63" s="154">
        <f>[8]검사현황!$I$25</f>
        <v>0</v>
      </c>
      <c r="K63" s="154">
        <f>[8]검사현황!$J$25</f>
        <v>0</v>
      </c>
      <c r="L63" s="154">
        <f>[8]검사현황!$K$25</f>
        <v>0</v>
      </c>
      <c r="M63" s="154">
        <f>[8]검사현황!$L$25</f>
        <v>0</v>
      </c>
      <c r="N63" s="154">
        <f>[8]검사현황!$M$25</f>
        <v>0</v>
      </c>
      <c r="O63" s="165">
        <f>SUM(C63:N63)</f>
        <v>5</v>
      </c>
    </row>
    <row r="64" spans="1:18">
      <c r="A64" s="212"/>
      <c r="B64" s="156" t="s">
        <v>67</v>
      </c>
      <c r="C64" s="173">
        <f>[8]검사현황!$B$28</f>
        <v>0</v>
      </c>
      <c r="D64" s="173" t="str">
        <f>[8]검사현황!$C$28</f>
        <v>0</v>
      </c>
      <c r="E64" s="173" t="str">
        <f>[8]검사현황!$D$28</f>
        <v>0</v>
      </c>
      <c r="F64" s="173" t="str">
        <f>[8]검사현황!$E$28</f>
        <v>0</v>
      </c>
      <c r="G64" s="173" t="str">
        <f>[8]검사현황!$F$28</f>
        <v>0</v>
      </c>
      <c r="H64" s="173" t="str">
        <f>[8]검사현황!$G$28</f>
        <v>0</v>
      </c>
      <c r="I64" s="173" t="str">
        <f>[8]검사현황!$H$28</f>
        <v>0</v>
      </c>
      <c r="J64" s="173" t="str">
        <f>[8]검사현황!$I$28</f>
        <v>0</v>
      </c>
      <c r="K64" s="173" t="str">
        <f>[8]검사현황!$J$28</f>
        <v>0</v>
      </c>
      <c r="L64" s="173" t="str">
        <f>[8]검사현황!$K$28</f>
        <v>0</v>
      </c>
      <c r="M64" s="173" t="str">
        <f>[8]검사현황!$L$28</f>
        <v>0</v>
      </c>
      <c r="N64" s="173" t="str">
        <f>[8]검사현황!$M$28</f>
        <v>0</v>
      </c>
      <c r="O64" s="158">
        <f>[8]검사현황!$N$28</f>
        <v>0</v>
      </c>
    </row>
    <row r="65" spans="1:15">
      <c r="A65" s="213" t="s">
        <v>61</v>
      </c>
      <c r="B65" s="96" t="s">
        <v>66</v>
      </c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</row>
    <row r="66" spans="1:15" ht="17.25" thickBot="1">
      <c r="A66" s="213"/>
      <c r="B66" s="103" t="s">
        <v>67</v>
      </c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</row>
    <row r="67" spans="1:15">
      <c r="A67" s="218" t="s">
        <v>84</v>
      </c>
      <c r="B67" s="153" t="s">
        <v>66</v>
      </c>
      <c r="C67" s="170">
        <f>[9]검사현황!$B$25</f>
        <v>1</v>
      </c>
      <c r="D67" s="170">
        <f>[9]검사현황!$C$25</f>
        <v>2</v>
      </c>
      <c r="E67" s="170">
        <f>[9]검사현황!$D$25</f>
        <v>0</v>
      </c>
      <c r="F67" s="170">
        <f>[9]검사현황!$E$25</f>
        <v>0</v>
      </c>
      <c r="G67" s="170">
        <f>[9]검사현황!$F$25</f>
        <v>0</v>
      </c>
      <c r="H67" s="170">
        <f>[9]검사현황!$G$25</f>
        <v>0</v>
      </c>
      <c r="I67" s="170">
        <f>[9]검사현황!$H$25</f>
        <v>0</v>
      </c>
      <c r="J67" s="170">
        <f>[9]검사현황!$I$25</f>
        <v>0</v>
      </c>
      <c r="K67" s="170">
        <f>[9]검사현황!$J$25</f>
        <v>2</v>
      </c>
      <c r="L67" s="170">
        <f>[9]검사현황!$K$25</f>
        <v>0</v>
      </c>
      <c r="M67" s="170">
        <f>[9]검사현황!$L$25</f>
        <v>0</v>
      </c>
      <c r="N67" s="170">
        <f>[9]검사현황!$M$25</f>
        <v>0</v>
      </c>
      <c r="O67" s="171">
        <f>[9]검사현황!$N$25</f>
        <v>5</v>
      </c>
    </row>
    <row r="68" spans="1:15" ht="17.25" thickBot="1">
      <c r="A68" s="219"/>
      <c r="B68" s="162" t="s">
        <v>67</v>
      </c>
      <c r="C68" s="166">
        <f>[9]검사현황!$B$28</f>
        <v>0</v>
      </c>
      <c r="D68" s="166">
        <f>[9]검사현황!$C$28</f>
        <v>0</v>
      </c>
      <c r="E68" s="166" t="str">
        <f>[9]검사현황!$D$28</f>
        <v>0</v>
      </c>
      <c r="F68" s="166" t="str">
        <f>[9]검사현황!$E$28</f>
        <v>0</v>
      </c>
      <c r="G68" s="166" t="str">
        <f>[9]검사현황!$F$28</f>
        <v>0</v>
      </c>
      <c r="H68" s="166" t="str">
        <f>[9]검사현황!$G$28</f>
        <v>0</v>
      </c>
      <c r="I68" s="166" t="str">
        <f>[9]검사현황!$H$28</f>
        <v>0</v>
      </c>
      <c r="J68" s="166" t="str">
        <f>[9]검사현황!$I$28</f>
        <v>0</v>
      </c>
      <c r="K68" s="166">
        <f>[9]검사현황!$J$28</f>
        <v>0</v>
      </c>
      <c r="L68" s="166" t="str">
        <f>[9]검사현황!$K$28</f>
        <v>0</v>
      </c>
      <c r="M68" s="166" t="str">
        <f>[9]검사현황!$L$28</f>
        <v>0</v>
      </c>
      <c r="N68" s="166" t="str">
        <f>[9]검사현황!$M$28</f>
        <v>0</v>
      </c>
      <c r="O68" s="167">
        <f>[9]검사현황!$N$28</f>
        <v>0</v>
      </c>
    </row>
    <row r="69" spans="1:15">
      <c r="A69" s="206" t="s">
        <v>36</v>
      </c>
      <c r="B69" s="107" t="s">
        <v>66</v>
      </c>
      <c r="C69" s="131">
        <f>[10]검사현황!$B$25</f>
        <v>0</v>
      </c>
      <c r="D69" s="131">
        <f>[10]검사현황!$C$25</f>
        <v>5</v>
      </c>
      <c r="E69" s="131">
        <f>[10]검사현황!$D$25</f>
        <v>1</v>
      </c>
      <c r="F69" s="131">
        <f>[10]검사현황!$E$25</f>
        <v>0</v>
      </c>
      <c r="G69" s="131">
        <f>[10]검사현황!$F$25</f>
        <v>0</v>
      </c>
      <c r="H69" s="131">
        <f>[10]검사현황!$G$25</f>
        <v>0</v>
      </c>
      <c r="I69" s="131">
        <f>[10]검사현황!$H$25</f>
        <v>2</v>
      </c>
      <c r="J69" s="131">
        <f>[10]검사현황!$I$25</f>
        <v>0</v>
      </c>
      <c r="K69" s="131">
        <f>[10]검사현황!$J$25</f>
        <v>0</v>
      </c>
      <c r="L69" s="131">
        <f>[10]검사현황!$K$25</f>
        <v>0</v>
      </c>
      <c r="M69" s="131">
        <f>[10]검사현황!$L$25</f>
        <v>0</v>
      </c>
      <c r="N69" s="131">
        <f>[10]검사현황!$M$25</f>
        <v>0</v>
      </c>
      <c r="O69" s="108">
        <f>SUM(C69:N69)</f>
        <v>8</v>
      </c>
    </row>
    <row r="70" spans="1:15" ht="17.25" thickBot="1">
      <c r="A70" s="206"/>
      <c r="B70" s="99" t="s">
        <v>67</v>
      </c>
      <c r="C70" s="125" t="str">
        <f>[10]검사현황!$B$28</f>
        <v>0</v>
      </c>
      <c r="D70" s="125">
        <f>[10]검사현황!$C$28</f>
        <v>0</v>
      </c>
      <c r="E70" s="125">
        <f>[10]검사현황!$D$28</f>
        <v>0</v>
      </c>
      <c r="F70" s="125" t="str">
        <f>[10]검사현황!$E$28</f>
        <v>0</v>
      </c>
      <c r="G70" s="125" t="str">
        <f>[10]검사현황!$F$28</f>
        <v>0</v>
      </c>
      <c r="H70" s="125" t="str">
        <f>[10]검사현황!$G$28</f>
        <v>0</v>
      </c>
      <c r="I70" s="125">
        <f>[10]검사현황!$H$28</f>
        <v>0</v>
      </c>
      <c r="J70" s="125" t="str">
        <f>[10]검사현황!$I$28</f>
        <v>0</v>
      </c>
      <c r="K70" s="125" t="str">
        <f>[10]검사현황!$J$28</f>
        <v>0</v>
      </c>
      <c r="L70" s="125" t="str">
        <f>[10]검사현황!$K$28</f>
        <v>0</v>
      </c>
      <c r="M70" s="125" t="str">
        <f>[10]검사현황!$L$28</f>
        <v>0</v>
      </c>
      <c r="N70" s="125" t="str">
        <f>[10]검사현황!$M$28</f>
        <v>0</v>
      </c>
      <c r="O70" s="101">
        <f>[10]검사현황!$N$28</f>
        <v>0</v>
      </c>
    </row>
    <row r="71" spans="1:15">
      <c r="A71" s="216" t="s">
        <v>98</v>
      </c>
      <c r="B71" s="126" t="s">
        <v>66</v>
      </c>
      <c r="C71" s="129">
        <f>[11]검사현황!$B$25</f>
        <v>0</v>
      </c>
      <c r="D71" s="129">
        <f>[11]검사현황!$C$25</f>
        <v>0</v>
      </c>
      <c r="E71" s="129">
        <f>[11]검사현황!$D$25</f>
        <v>0</v>
      </c>
      <c r="F71" s="129">
        <f>[11]검사현황!$E$25</f>
        <v>0</v>
      </c>
      <c r="G71" s="129">
        <f>[11]검사현황!$F$25</f>
        <v>0</v>
      </c>
      <c r="H71" s="129">
        <f>[11]검사현황!$G$25</f>
        <v>0</v>
      </c>
      <c r="I71" s="129">
        <f>[11]검사현황!$H$25</f>
        <v>0</v>
      </c>
      <c r="J71" s="129">
        <f>[11]검사현황!$I$25</f>
        <v>0</v>
      </c>
      <c r="K71" s="129">
        <f>[11]검사현황!$J$25</f>
        <v>6</v>
      </c>
      <c r="L71" s="129">
        <f>[11]검사현황!$K$25</f>
        <v>0</v>
      </c>
      <c r="M71" s="129">
        <f>[11]검사현황!$L$25</f>
        <v>0</v>
      </c>
      <c r="N71" s="129">
        <f>[11]검사현황!$M$25</f>
        <v>0</v>
      </c>
      <c r="O71" s="102">
        <f>SUM(C71:N71)</f>
        <v>6</v>
      </c>
    </row>
    <row r="72" spans="1:15" ht="17.25" thickBot="1">
      <c r="A72" s="217"/>
      <c r="B72" s="128" t="s">
        <v>67</v>
      </c>
      <c r="C72" s="130" t="str">
        <f>[11]검사현황!$B$28</f>
        <v>0</v>
      </c>
      <c r="D72" s="130" t="str">
        <f>[11]검사현황!$C$28</f>
        <v>0</v>
      </c>
      <c r="E72" s="130" t="str">
        <f>[11]검사현황!$D$28</f>
        <v>0</v>
      </c>
      <c r="F72" s="130" t="str">
        <f>[11]검사현황!$E$28</f>
        <v>0</v>
      </c>
      <c r="G72" s="130" t="str">
        <f>[11]검사현황!$F$28</f>
        <v>0</v>
      </c>
      <c r="H72" s="130" t="str">
        <f>[11]검사현황!$G$28</f>
        <v>0</v>
      </c>
      <c r="I72" s="130" t="str">
        <f>[11]검사현황!$H$28</f>
        <v>0</v>
      </c>
      <c r="J72" s="130" t="str">
        <f>[11]검사현황!$I$28</f>
        <v>0</v>
      </c>
      <c r="K72" s="130">
        <f>[11]검사현황!$J$28</f>
        <v>0</v>
      </c>
      <c r="L72" s="130" t="str">
        <f>[11]검사현황!$K$28</f>
        <v>0</v>
      </c>
      <c r="M72" s="130" t="str">
        <f>[11]검사현황!$L$28</f>
        <v>0</v>
      </c>
      <c r="N72" s="130" t="str">
        <f>[11]검사현황!$M$28</f>
        <v>0</v>
      </c>
      <c r="O72" s="110">
        <f>[11]검사현황!$N$28</f>
        <v>0</v>
      </c>
    </row>
    <row r="73" spans="1:15" ht="17.25" thickBot="1">
      <c r="A73" s="207" t="s">
        <v>62</v>
      </c>
      <c r="B73" s="159" t="s">
        <v>66</v>
      </c>
      <c r="C73" s="187">
        <f>[12]검사현황!$B$25</f>
        <v>0</v>
      </c>
      <c r="D73" s="187">
        <f>[12]검사현황!$C$25</f>
        <v>0</v>
      </c>
      <c r="E73" s="187">
        <f>[12]검사현황!$D$25</f>
        <v>0</v>
      </c>
      <c r="F73" s="187">
        <f>[12]검사현황!$E$25</f>
        <v>0</v>
      </c>
      <c r="G73" s="187">
        <f>[12]검사현황!$F$25</f>
        <v>0</v>
      </c>
      <c r="H73" s="187">
        <f>[12]검사현황!$G$25</f>
        <v>0</v>
      </c>
      <c r="I73" s="187">
        <f>[12]검사현황!$H$25</f>
        <v>0</v>
      </c>
      <c r="J73" s="187">
        <f>[12]검사현황!$I$25</f>
        <v>0</v>
      </c>
      <c r="K73" s="187">
        <f>[12]검사현황!$J$25</f>
        <v>1</v>
      </c>
      <c r="L73" s="187">
        <f>[12]검사현황!$K$25</f>
        <v>0</v>
      </c>
      <c r="M73" s="187">
        <f>[12]검사현황!$L$25</f>
        <v>2</v>
      </c>
      <c r="N73" s="187">
        <f>[12]검사현황!$M$25</f>
        <v>0</v>
      </c>
      <c r="O73" s="161">
        <f>SUM(C73:N73)</f>
        <v>3</v>
      </c>
    </row>
    <row r="74" spans="1:15" ht="17.25" thickBot="1">
      <c r="A74" s="208"/>
      <c r="B74" s="162" t="s">
        <v>67</v>
      </c>
      <c r="C74" s="175" t="str">
        <f>[12]검사현황!$B$28</f>
        <v>0</v>
      </c>
      <c r="D74" s="175" t="str">
        <f>[12]검사현황!$C$28</f>
        <v>0</v>
      </c>
      <c r="E74" s="175" t="str">
        <f>[12]검사현황!$D$28</f>
        <v>0</v>
      </c>
      <c r="F74" s="175" t="str">
        <f>[12]검사현황!$E$28</f>
        <v>0</v>
      </c>
      <c r="G74" s="175" t="str">
        <f>[12]검사현황!$F$28</f>
        <v>0</v>
      </c>
      <c r="H74" s="175" t="str">
        <f>[12]검사현황!$G$28</f>
        <v>0</v>
      </c>
      <c r="I74" s="175" t="str">
        <f>[12]검사현황!$H$28</f>
        <v>0</v>
      </c>
      <c r="J74" s="175" t="str">
        <f>[12]검사현황!$I$28</f>
        <v>0</v>
      </c>
      <c r="K74" s="175">
        <f>[12]검사현황!$J$28</f>
        <v>100</v>
      </c>
      <c r="L74" s="175" t="str">
        <f>[12]검사현황!$K$28</f>
        <v>0</v>
      </c>
      <c r="M74" s="175">
        <f>[12]검사현황!$L$28</f>
        <v>0</v>
      </c>
      <c r="N74" s="175" t="str">
        <f>[12]검사현황!$M$28</f>
        <v>0</v>
      </c>
      <c r="O74" s="164">
        <f>[12]검사현황!$N$28</f>
        <v>33.333333333333329</v>
      </c>
    </row>
    <row r="75" spans="1:15">
      <c r="A75" t="s">
        <v>63</v>
      </c>
      <c r="C75">
        <v>3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</row>
  </sheetData>
  <mergeCells count="28">
    <mergeCell ref="A25:A26"/>
    <mergeCell ref="A71:A72"/>
    <mergeCell ref="A21:A22"/>
    <mergeCell ref="A67:A68"/>
    <mergeCell ref="A1:O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3:A24"/>
    <mergeCell ref="A27:A28"/>
    <mergeCell ref="A47:O47"/>
    <mergeCell ref="A49:A50"/>
    <mergeCell ref="A51:A52"/>
    <mergeCell ref="A63:A64"/>
    <mergeCell ref="A65:A66"/>
    <mergeCell ref="A69:A70"/>
    <mergeCell ref="A73:A74"/>
    <mergeCell ref="A53:A54"/>
    <mergeCell ref="A55:A56"/>
    <mergeCell ref="A57:A58"/>
    <mergeCell ref="A59:A60"/>
    <mergeCell ref="A61:A62"/>
  </mergeCells>
  <phoneticPr fontId="24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38"/>
  <sheetViews>
    <sheetView showGridLines="0" zoomScaleNormal="100" workbookViewId="0">
      <selection activeCell="AL23" sqref="AL23"/>
    </sheetView>
  </sheetViews>
  <sheetFormatPr defaultColWidth="8.625" defaultRowHeight="16.5"/>
  <cols>
    <col min="1" max="1" width="2.75" customWidth="1"/>
    <col min="2" max="2" width="11.75" customWidth="1"/>
    <col min="3" max="3" width="9.375" customWidth="1"/>
    <col min="4" max="5" width="9.375" hidden="1" customWidth="1"/>
    <col min="6" max="6" width="9.625" customWidth="1"/>
    <col min="7" max="7" width="2.625" customWidth="1"/>
    <col min="8" max="9" width="12.5" customWidth="1"/>
    <col min="10" max="10" width="11" customWidth="1"/>
    <col min="14" max="14" width="2.5" customWidth="1"/>
    <col min="15" max="15" width="11.125" hidden="1" customWidth="1"/>
    <col min="16" max="21" width="10.625" hidden="1" customWidth="1"/>
    <col min="22" max="22" width="9.875" hidden="1" customWidth="1"/>
    <col min="23" max="28" width="10.625" hidden="1" customWidth="1"/>
  </cols>
  <sheetData>
    <row r="2" spans="2:34" ht="17.25" thickBot="1">
      <c r="B2" s="132" t="s">
        <v>68</v>
      </c>
      <c r="O2" s="225" t="s">
        <v>69</v>
      </c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133"/>
      <c r="AC2" s="133"/>
      <c r="AD2" s="133"/>
      <c r="AE2" s="133"/>
      <c r="AF2" s="133"/>
      <c r="AG2" s="133"/>
      <c r="AH2" s="133"/>
    </row>
    <row r="3" spans="2:34">
      <c r="B3" s="134" t="s">
        <v>65</v>
      </c>
      <c r="C3" s="135" t="s">
        <v>70</v>
      </c>
      <c r="D3" s="135" t="s">
        <v>71</v>
      </c>
      <c r="E3" s="135" t="s">
        <v>72</v>
      </c>
      <c r="F3" s="136" t="s">
        <v>55</v>
      </c>
      <c r="O3" s="137"/>
      <c r="P3" s="137">
        <v>1</v>
      </c>
      <c r="Q3" s="137">
        <v>2</v>
      </c>
      <c r="R3" s="137">
        <v>3</v>
      </c>
      <c r="S3" s="137">
        <v>4</v>
      </c>
      <c r="T3" s="137">
        <v>5</v>
      </c>
      <c r="U3" s="137">
        <v>6</v>
      </c>
      <c r="V3" s="137">
        <v>7</v>
      </c>
      <c r="W3" s="137">
        <v>8</v>
      </c>
      <c r="X3" s="137">
        <v>9</v>
      </c>
      <c r="Y3" s="137">
        <v>10</v>
      </c>
      <c r="Z3" s="137">
        <v>11</v>
      </c>
      <c r="AA3" s="137">
        <v>12</v>
      </c>
      <c r="AB3" s="138" t="s">
        <v>52</v>
      </c>
    </row>
    <row r="4" spans="2:34">
      <c r="B4" s="180" t="s">
        <v>90</v>
      </c>
      <c r="C4" s="142">
        <f>수입검사!O13</f>
        <v>3500</v>
      </c>
      <c r="D4" s="142"/>
      <c r="E4" s="142"/>
      <c r="F4" s="140">
        <f>수입검사!O14</f>
        <v>14.285714285714286</v>
      </c>
      <c r="O4" s="137" t="s">
        <v>73</v>
      </c>
      <c r="P4" s="141">
        <f>수입검사!C10</f>
        <v>0</v>
      </c>
      <c r="Q4" s="141" t="str">
        <f>수입검사!D10</f>
        <v>0</v>
      </c>
      <c r="R4" s="141">
        <f>수입검사!E10</f>
        <v>0</v>
      </c>
      <c r="S4" s="141" t="str">
        <f>수입검사!F10</f>
        <v>0</v>
      </c>
      <c r="T4" s="141">
        <f>수입검사!G10</f>
        <v>0</v>
      </c>
      <c r="U4" s="141" t="str">
        <f>수입검사!H10</f>
        <v>0</v>
      </c>
      <c r="V4" s="141">
        <f>수입검사!I10</f>
        <v>0</v>
      </c>
      <c r="W4" s="141">
        <f>수입검사!J10</f>
        <v>0</v>
      </c>
      <c r="X4" s="141">
        <f>수입검사!K10</f>
        <v>0</v>
      </c>
      <c r="Y4" s="141">
        <f>수입검사!L10</f>
        <v>0</v>
      </c>
      <c r="Z4" s="141" t="str">
        <f>수입검사!M10</f>
        <v>0</v>
      </c>
      <c r="AA4" s="141">
        <f>수입검사!N10</f>
        <v>0</v>
      </c>
    </row>
    <row r="5" spans="2:34">
      <c r="B5" s="180" t="s">
        <v>87</v>
      </c>
      <c r="C5" s="139">
        <f>수입검사!O7</f>
        <v>84408</v>
      </c>
      <c r="D5" s="139"/>
      <c r="E5" s="139"/>
      <c r="F5" s="181">
        <f>수입검사!O8</f>
        <v>7.5466594536110359</v>
      </c>
      <c r="O5" s="137" t="s">
        <v>74</v>
      </c>
      <c r="P5" s="141">
        <f>SUM(수입검사!C6)</f>
        <v>0</v>
      </c>
      <c r="Q5" s="141">
        <f>SUM(수입검사!D6)</f>
        <v>0.65789473684210531</v>
      </c>
      <c r="R5" s="141">
        <f>SUM(수입검사!E6)</f>
        <v>0</v>
      </c>
      <c r="S5" s="141">
        <f>SUM(수입검사!F6)</f>
        <v>4.6728971962616823</v>
      </c>
      <c r="T5" s="141">
        <f>SUM(수입검사!G6)</f>
        <v>0</v>
      </c>
      <c r="U5" s="141">
        <f>SUM(수입검사!H6)</f>
        <v>0</v>
      </c>
      <c r="V5" s="141">
        <f>SUM(수입검사!I6)</f>
        <v>0</v>
      </c>
      <c r="W5" s="141">
        <f>SUM(수입검사!J6)</f>
        <v>0</v>
      </c>
      <c r="X5" s="141">
        <f>SUM(수입검사!K6)</f>
        <v>0</v>
      </c>
      <c r="Y5" s="141">
        <f>SUM(수입검사!L6)</f>
        <v>0</v>
      </c>
      <c r="Z5" s="141">
        <f>SUM(수입검사!M6)</f>
        <v>0</v>
      </c>
      <c r="AA5" s="141">
        <f>SUM(수입검사!N6)</f>
        <v>0</v>
      </c>
    </row>
    <row r="6" spans="2:34">
      <c r="B6" s="180" t="s">
        <v>86</v>
      </c>
      <c r="C6" s="139">
        <f>수입검사!O5</f>
        <v>135720</v>
      </c>
      <c r="D6" s="139"/>
      <c r="E6" s="139"/>
      <c r="F6" s="181">
        <f>수입검사!O6</f>
        <v>1.7931034482758619</v>
      </c>
      <c r="O6" s="137" t="s">
        <v>56</v>
      </c>
      <c r="P6" s="141">
        <f>SUM(수입검사!C8)</f>
        <v>0</v>
      </c>
      <c r="Q6" s="141">
        <f>SUM(수입검사!D8)</f>
        <v>20</v>
      </c>
      <c r="R6" s="141">
        <f>SUM(수입검사!E8)</f>
        <v>69.230769230769226</v>
      </c>
      <c r="S6" s="141">
        <f>SUM(수입검사!F8)</f>
        <v>5</v>
      </c>
      <c r="T6" s="141">
        <f>SUM(수입검사!G8)</f>
        <v>0</v>
      </c>
      <c r="U6" s="141">
        <f>SUM(수입검사!H8)</f>
        <v>0</v>
      </c>
      <c r="V6" s="141">
        <f>SUM(수입검사!I8)</f>
        <v>5.6872037914691944</v>
      </c>
      <c r="W6" s="141">
        <f>SUM(수입검사!J8)</f>
        <v>0</v>
      </c>
      <c r="X6" s="141">
        <f>SUM(수입검사!K8)</f>
        <v>0</v>
      </c>
      <c r="Y6" s="141">
        <f>SUM(수입검사!L8)</f>
        <v>0</v>
      </c>
      <c r="Z6" s="141">
        <f>SUM(수입검사!M8)</f>
        <v>0</v>
      </c>
      <c r="AA6" s="141">
        <f>SUM(수입검사!N8)</f>
        <v>12.5</v>
      </c>
    </row>
    <row r="7" spans="2:34">
      <c r="B7" s="180" t="s">
        <v>91</v>
      </c>
      <c r="C7" s="139">
        <f>수입검사!O15</f>
        <v>10337</v>
      </c>
      <c r="D7" s="139"/>
      <c r="E7" s="139"/>
      <c r="F7" s="140">
        <f>수입검사!O16</f>
        <v>1.0356731875719216</v>
      </c>
      <c r="O7" s="137" t="s">
        <v>75</v>
      </c>
      <c r="P7" s="141">
        <f>SUM(수입검사!C4)</f>
        <v>0</v>
      </c>
      <c r="Q7" s="141">
        <f>SUM(수입검사!D4)</f>
        <v>0</v>
      </c>
      <c r="R7" s="141">
        <f>SUM(수입검사!E4)</f>
        <v>0</v>
      </c>
      <c r="S7" s="141">
        <f>SUM(수입검사!F4)</f>
        <v>0</v>
      </c>
      <c r="T7" s="141">
        <f>SUM(수입검사!G4)</f>
        <v>0</v>
      </c>
      <c r="U7" s="141">
        <f>SUM(수입검사!H4)</f>
        <v>0</v>
      </c>
      <c r="V7" s="141">
        <f>SUM(수입검사!I4)</f>
        <v>0</v>
      </c>
      <c r="W7" s="141">
        <f>SUM(수입검사!J4)</f>
        <v>0</v>
      </c>
      <c r="X7" s="141">
        <f>SUM(수입검사!K4)</f>
        <v>0</v>
      </c>
      <c r="Y7" s="141">
        <f>SUM(수입검사!L4)</f>
        <v>0</v>
      </c>
      <c r="Z7" s="141">
        <f>SUM(수입검사!M4)</f>
        <v>0</v>
      </c>
      <c r="AA7" s="141">
        <f>SUM(수입검사!N4)</f>
        <v>3.3333333333333335</v>
      </c>
    </row>
    <row r="8" spans="2:34">
      <c r="B8" s="180" t="s">
        <v>94</v>
      </c>
      <c r="C8" s="139">
        <f>수입검사!O21</f>
        <v>302000</v>
      </c>
      <c r="D8" s="139"/>
      <c r="E8" s="139"/>
      <c r="F8" s="140">
        <f>수입검사!O22</f>
        <v>0</v>
      </c>
      <c r="O8" s="137" t="s">
        <v>60</v>
      </c>
      <c r="P8" s="141" t="str">
        <f>수입검사!C12</f>
        <v>0</v>
      </c>
      <c r="Q8" s="141" t="str">
        <f>수입검사!D12</f>
        <v>0</v>
      </c>
      <c r="R8" s="141">
        <f>수입검사!E12</f>
        <v>0</v>
      </c>
      <c r="S8" s="141">
        <f>수입검사!F12</f>
        <v>0</v>
      </c>
      <c r="T8" s="141" t="str">
        <f>수입검사!G12</f>
        <v>0</v>
      </c>
      <c r="U8" s="141" t="str">
        <f>수입검사!H12</f>
        <v>0</v>
      </c>
      <c r="V8" s="141" t="str">
        <f>수입검사!I12</f>
        <v>0</v>
      </c>
      <c r="W8" s="141" t="str">
        <f>수입검사!J12</f>
        <v>0</v>
      </c>
      <c r="X8" s="141">
        <f>수입검사!K12</f>
        <v>0</v>
      </c>
      <c r="Y8" s="141">
        <f>수입검사!L12</f>
        <v>0</v>
      </c>
      <c r="Z8" s="141" t="str">
        <f>수입검사!M12</f>
        <v>0</v>
      </c>
      <c r="AA8" s="141" t="str">
        <f>수입검사!N12</f>
        <v>0</v>
      </c>
    </row>
    <row r="9" spans="2:34">
      <c r="B9" s="180" t="s">
        <v>95</v>
      </c>
      <c r="C9" s="139">
        <f>수입검사!O23</f>
        <v>24066</v>
      </c>
      <c r="D9" s="139"/>
      <c r="E9" s="139"/>
      <c r="F9" s="140">
        <f>수입검사!O24</f>
        <v>0</v>
      </c>
      <c r="O9" s="137" t="s">
        <v>76</v>
      </c>
      <c r="P9" s="141" t="str">
        <f>수입검사!C16</f>
        <v>0</v>
      </c>
      <c r="Q9" s="141" t="str">
        <f>수입검사!D16</f>
        <v>0</v>
      </c>
      <c r="R9" s="141" t="str">
        <f>수입검사!E16</f>
        <v>0</v>
      </c>
      <c r="S9" s="141">
        <f>수입검사!F16</f>
        <v>1.6990291262135921</v>
      </c>
      <c r="T9" s="141" t="str">
        <f>수입검사!G16</f>
        <v>0</v>
      </c>
      <c r="U9" s="141">
        <f>수입검사!H16</f>
        <v>1.015228426395939</v>
      </c>
      <c r="V9" s="141">
        <f>수입검사!I16</f>
        <v>0</v>
      </c>
      <c r="W9" s="141" t="str">
        <f>수입검사!J16</f>
        <v>0</v>
      </c>
      <c r="X9" s="141">
        <f>수입검사!K16</f>
        <v>0</v>
      </c>
      <c r="Y9" s="141" t="str">
        <f>수입검사!L16</f>
        <v>0</v>
      </c>
      <c r="Z9" s="141" t="str">
        <f>수입검사!M16</f>
        <v>0</v>
      </c>
      <c r="AA9" s="141">
        <f>수입검사!N16</f>
        <v>0</v>
      </c>
    </row>
    <row r="10" spans="2:34" ht="17.25" customHeight="1">
      <c r="B10" s="180" t="s">
        <v>92</v>
      </c>
      <c r="C10" s="139">
        <f>수입검사!O17</f>
        <v>2500</v>
      </c>
      <c r="D10" s="139"/>
      <c r="E10" s="139"/>
      <c r="F10" s="140">
        <f>수입검사!O18</f>
        <v>0</v>
      </c>
      <c r="O10" s="137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 spans="2:34">
      <c r="B11" s="180" t="s">
        <v>85</v>
      </c>
      <c r="C11" s="139">
        <f>수입검사!O3</f>
        <v>27000</v>
      </c>
      <c r="D11" s="139"/>
      <c r="E11" s="139"/>
      <c r="F11" s="181">
        <f>수입검사!O4</f>
        <v>0.21551724137931033</v>
      </c>
      <c r="O11" s="137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</row>
    <row r="12" spans="2:34">
      <c r="B12" s="180" t="s">
        <v>88</v>
      </c>
      <c r="C12" s="142">
        <f>수입검사!O9</f>
        <v>11417</v>
      </c>
      <c r="D12" s="142"/>
      <c r="E12" s="142"/>
      <c r="F12" s="182">
        <f>수입검사!O10</f>
        <v>0</v>
      </c>
      <c r="M12" s="132"/>
      <c r="O12" s="144"/>
      <c r="P12" s="144"/>
      <c r="Q12" s="144"/>
      <c r="R12" s="145"/>
      <c r="S12" s="145"/>
      <c r="T12" s="145"/>
      <c r="U12" s="145"/>
      <c r="V12" s="145"/>
      <c r="W12" s="144"/>
      <c r="X12" s="144"/>
      <c r="Y12" s="144"/>
      <c r="Z12" s="144"/>
      <c r="AA12" s="144"/>
    </row>
    <row r="13" spans="2:34">
      <c r="B13" s="180" t="s">
        <v>89</v>
      </c>
      <c r="C13" s="142">
        <f>수입검사!O11</f>
        <v>10760</v>
      </c>
      <c r="D13" s="142"/>
      <c r="E13" s="142"/>
      <c r="F13" s="182">
        <f>수입검사!O12</f>
        <v>0</v>
      </c>
    </row>
    <row r="14" spans="2:34">
      <c r="B14" s="180" t="s">
        <v>93</v>
      </c>
      <c r="C14" s="139">
        <f>수입검사!O19</f>
        <v>0</v>
      </c>
      <c r="D14" s="139"/>
      <c r="E14" s="139"/>
      <c r="F14" s="140">
        <f>수입검사!O20</f>
        <v>0</v>
      </c>
    </row>
    <row r="15" spans="2:34">
      <c r="B15" s="180" t="s">
        <v>96</v>
      </c>
      <c r="C15" s="139">
        <f>수입검사!O27</f>
        <v>2500</v>
      </c>
      <c r="D15" s="139"/>
      <c r="E15" s="139"/>
      <c r="F15" s="140">
        <f>수입검사!O28</f>
        <v>0</v>
      </c>
    </row>
    <row r="16" spans="2:34" ht="17.25" thickBot="1">
      <c r="B16" s="146" t="s">
        <v>52</v>
      </c>
      <c r="C16" s="147">
        <f>SUM(C12:C14)</f>
        <v>22177</v>
      </c>
      <c r="D16" s="147">
        <f>SUM(D12:D14)</f>
        <v>0</v>
      </c>
      <c r="E16" s="147">
        <f>SUM(E12:E14)</f>
        <v>0</v>
      </c>
      <c r="F16" s="106" t="str">
        <f>IFERROR(E16*100/D16,"0")</f>
        <v>0</v>
      </c>
    </row>
    <row r="17" spans="2:27" ht="17.25" customHeight="1"/>
    <row r="20" spans="2:27" ht="17.25" thickBot="1">
      <c r="B20" t="s">
        <v>77</v>
      </c>
    </row>
    <row r="21" spans="2:27">
      <c r="B21" s="134" t="s">
        <v>65</v>
      </c>
      <c r="C21" s="126" t="s">
        <v>78</v>
      </c>
      <c r="D21" s="126" t="s">
        <v>71</v>
      </c>
      <c r="E21" s="126" t="s">
        <v>79</v>
      </c>
      <c r="F21" s="127" t="s">
        <v>80</v>
      </c>
    </row>
    <row r="22" spans="2:27">
      <c r="B22" s="180" t="s">
        <v>90</v>
      </c>
      <c r="C22" s="137">
        <f>수입검사!O59</f>
        <v>7</v>
      </c>
      <c r="D22" s="137"/>
      <c r="E22" s="137"/>
      <c r="F22" s="188">
        <f>수입검사!O60</f>
        <v>14.285714285714285</v>
      </c>
    </row>
    <row r="23" spans="2:27">
      <c r="B23" s="180" t="s">
        <v>87</v>
      </c>
      <c r="C23" s="137">
        <f>수입검사!O53</f>
        <v>64</v>
      </c>
      <c r="D23" s="137"/>
      <c r="E23" s="137"/>
      <c r="F23" s="188">
        <f>수입검사!O54</f>
        <v>6.25</v>
      </c>
    </row>
    <row r="24" spans="2:27">
      <c r="B24" s="180" t="s">
        <v>86</v>
      </c>
      <c r="C24" s="137">
        <f>수입검사!O51</f>
        <v>52</v>
      </c>
      <c r="D24" s="137"/>
      <c r="E24" s="137"/>
      <c r="F24" s="188">
        <f>수입검사!O52</f>
        <v>3.8461538461538463</v>
      </c>
    </row>
    <row r="25" spans="2:27">
      <c r="B25" s="180" t="s">
        <v>85</v>
      </c>
      <c r="C25" s="148">
        <f>수입검사!O49</f>
        <v>26</v>
      </c>
      <c r="D25" s="148"/>
      <c r="E25" s="148"/>
      <c r="F25" s="188">
        <f>수입검사!O50</f>
        <v>3.8461538461538463</v>
      </c>
    </row>
    <row r="26" spans="2:27">
      <c r="B26" s="180" t="s">
        <v>88</v>
      </c>
      <c r="C26" s="148">
        <f>수입검사!O55</f>
        <v>15</v>
      </c>
      <c r="D26" s="148"/>
      <c r="E26" s="148"/>
      <c r="F26" s="188">
        <f>수입검사!O56</f>
        <v>0</v>
      </c>
    </row>
    <row r="27" spans="2:27">
      <c r="B27" s="180" t="s">
        <v>89</v>
      </c>
      <c r="C27" s="148">
        <f>수입검사!O57</f>
        <v>8</v>
      </c>
      <c r="D27" s="148"/>
      <c r="E27" s="148"/>
      <c r="F27" s="188">
        <f>수입검사!O58</f>
        <v>0</v>
      </c>
    </row>
    <row r="28" spans="2:27">
      <c r="B28" s="180" t="s">
        <v>91</v>
      </c>
      <c r="C28" s="137">
        <f>수입검사!O61</f>
        <v>9</v>
      </c>
      <c r="D28" s="137"/>
      <c r="E28" s="137"/>
      <c r="F28" s="188">
        <f>수입검사!O62</f>
        <v>0</v>
      </c>
    </row>
    <row r="29" spans="2:27">
      <c r="B29" s="180" t="s">
        <v>92</v>
      </c>
      <c r="C29" s="148">
        <f>수입검사!O63</f>
        <v>5</v>
      </c>
      <c r="D29" s="148"/>
      <c r="E29" s="148"/>
      <c r="F29" s="188">
        <f>수입검사!O64</f>
        <v>0</v>
      </c>
      <c r="O29" s="225" t="s">
        <v>81</v>
      </c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</row>
    <row r="30" spans="2:27">
      <c r="B30" s="180" t="s">
        <v>93</v>
      </c>
      <c r="C30" s="148">
        <f>수입검사!O65</f>
        <v>0</v>
      </c>
      <c r="D30" s="148"/>
      <c r="E30" s="148"/>
      <c r="F30" s="188">
        <f>수입검사!O66</f>
        <v>0</v>
      </c>
      <c r="O30" s="137"/>
      <c r="P30" s="137">
        <v>1</v>
      </c>
      <c r="Q30" s="137">
        <v>2</v>
      </c>
      <c r="R30" s="137">
        <v>3</v>
      </c>
      <c r="S30" s="137">
        <v>4</v>
      </c>
      <c r="T30" s="137">
        <v>5</v>
      </c>
      <c r="U30" s="137">
        <v>6</v>
      </c>
      <c r="V30" s="137">
        <v>7</v>
      </c>
      <c r="W30" s="137">
        <v>8</v>
      </c>
      <c r="X30" s="137">
        <v>9</v>
      </c>
      <c r="Y30" s="137">
        <v>10</v>
      </c>
      <c r="Z30" s="137">
        <v>11</v>
      </c>
      <c r="AA30" s="137">
        <v>12</v>
      </c>
    </row>
    <row r="31" spans="2:27">
      <c r="B31" s="180" t="s">
        <v>94</v>
      </c>
      <c r="C31" s="137">
        <f>수입검사!O67</f>
        <v>5</v>
      </c>
      <c r="D31" s="137"/>
      <c r="E31" s="137"/>
      <c r="F31" s="188">
        <f>수입검사!O68</f>
        <v>0</v>
      </c>
      <c r="O31" s="149" t="s">
        <v>73</v>
      </c>
      <c r="P31" s="150">
        <f>수입검사!C56</f>
        <v>0</v>
      </c>
      <c r="Q31" s="150" t="str">
        <f>수입검사!D56</f>
        <v>0</v>
      </c>
      <c r="R31" s="150">
        <f>수입검사!E56</f>
        <v>0</v>
      </c>
      <c r="S31" s="150" t="str">
        <f>수입검사!F56</f>
        <v>0</v>
      </c>
      <c r="T31" s="150">
        <f>수입검사!G56</f>
        <v>0</v>
      </c>
      <c r="U31" s="150" t="str">
        <f>수입검사!H56</f>
        <v>0</v>
      </c>
      <c r="V31" s="150">
        <f>수입검사!I56</f>
        <v>0</v>
      </c>
      <c r="W31" s="150">
        <f>수입검사!J56</f>
        <v>0</v>
      </c>
      <c r="X31" s="150">
        <f>수입검사!K56</f>
        <v>0</v>
      </c>
      <c r="Y31" s="150">
        <f>수입검사!L56</f>
        <v>0</v>
      </c>
      <c r="Z31" s="150" t="str">
        <f>수입검사!M56</f>
        <v>0</v>
      </c>
      <c r="AA31" s="150">
        <f>수입검사!N56</f>
        <v>0</v>
      </c>
    </row>
    <row r="32" spans="2:27">
      <c r="B32" s="180" t="s">
        <v>95</v>
      </c>
      <c r="C32" s="137">
        <f>수입검사!O69</f>
        <v>8</v>
      </c>
      <c r="D32" s="137"/>
      <c r="E32" s="137"/>
      <c r="F32" s="188">
        <f>수입검사!O70</f>
        <v>0</v>
      </c>
      <c r="O32" s="137" t="s">
        <v>82</v>
      </c>
      <c r="P32" s="150">
        <f>SUM(수입검사!C52)</f>
        <v>0</v>
      </c>
      <c r="Q32" s="150">
        <f>SUM(수입검사!D52)</f>
        <v>20</v>
      </c>
      <c r="R32" s="150">
        <f>SUM(수입검사!E52)</f>
        <v>0</v>
      </c>
      <c r="S32" s="150">
        <f>SUM(수입검사!F52)</f>
        <v>5.2631578947368425</v>
      </c>
      <c r="T32" s="150">
        <f>SUM(수입검사!G52)</f>
        <v>0</v>
      </c>
      <c r="U32" s="150">
        <f>SUM(수입검사!H52)</f>
        <v>0</v>
      </c>
      <c r="V32" s="150">
        <f>SUM(수입검사!I52)</f>
        <v>0</v>
      </c>
      <c r="W32" s="150">
        <f>SUM(수입검사!J52)</f>
        <v>0</v>
      </c>
      <c r="X32" s="150">
        <f>SUM(수입검사!K52)</f>
        <v>0</v>
      </c>
      <c r="Y32" s="150">
        <f>SUM(수입검사!L52)</f>
        <v>0</v>
      </c>
      <c r="Z32" s="150">
        <f>SUM(수입검사!M52)</f>
        <v>0</v>
      </c>
      <c r="AA32" s="150">
        <f>SUM(수입검사!N52)</f>
        <v>0</v>
      </c>
    </row>
    <row r="33" spans="2:27">
      <c r="B33" s="180" t="s">
        <v>96</v>
      </c>
      <c r="C33" s="151">
        <f>수입검사!O73</f>
        <v>3</v>
      </c>
      <c r="D33" s="151"/>
      <c r="E33" s="151"/>
      <c r="F33" s="189">
        <f>수입검사!O70</f>
        <v>0</v>
      </c>
      <c r="O33" s="137" t="s">
        <v>56</v>
      </c>
      <c r="P33" s="150">
        <f>SUM(수입검사!C54)</f>
        <v>0</v>
      </c>
      <c r="Q33" s="150">
        <f>SUM(수입검사!D54)</f>
        <v>20</v>
      </c>
      <c r="R33" s="150">
        <f>SUM(수입검사!E54)</f>
        <v>0</v>
      </c>
      <c r="S33" s="150">
        <f>SUM(수입검사!F54)</f>
        <v>50</v>
      </c>
      <c r="T33" s="150">
        <f>SUM(수입검사!G54)</f>
        <v>0</v>
      </c>
      <c r="U33" s="150">
        <f>SUM(수입검사!H54)</f>
        <v>0</v>
      </c>
      <c r="V33" s="150">
        <f>SUM(수입검사!I54)</f>
        <v>16.666666666666668</v>
      </c>
      <c r="W33" s="150">
        <f>SUM(수입검사!J54)</f>
        <v>0</v>
      </c>
      <c r="X33" s="150">
        <f>SUM(수입검사!K54)</f>
        <v>0</v>
      </c>
      <c r="Y33" s="150">
        <f>SUM(수입검사!L54)</f>
        <v>0</v>
      </c>
      <c r="Z33" s="150">
        <f>SUM(수입검사!M54)</f>
        <v>0</v>
      </c>
      <c r="AA33" s="150">
        <f>SUM(수입검사!N54)</f>
        <v>20</v>
      </c>
    </row>
    <row r="34" spans="2:27" ht="17.25" thickBot="1">
      <c r="B34" s="152" t="s">
        <v>52</v>
      </c>
      <c r="C34" s="109">
        <f>SUM(C23:C31)</f>
        <v>184</v>
      </c>
      <c r="D34" s="109">
        <f>SUM(D23:D31)</f>
        <v>0</v>
      </c>
      <c r="E34" s="109">
        <f>SUM(E23:E31)</f>
        <v>0</v>
      </c>
      <c r="F34" s="106" t="str">
        <f>IFERROR(E34*10/D34,"0")</f>
        <v>0</v>
      </c>
      <c r="O34" s="137" t="s">
        <v>75</v>
      </c>
      <c r="P34" s="150">
        <f>SUM(수입검사!C50)</f>
        <v>0</v>
      </c>
      <c r="Q34" s="150">
        <f>SUM(수입검사!D50)</f>
        <v>0</v>
      </c>
      <c r="R34" s="150">
        <f>SUM(수입검사!E50)</f>
        <v>0</v>
      </c>
      <c r="S34" s="150">
        <f>SUM(수입검사!F50)</f>
        <v>0</v>
      </c>
      <c r="T34" s="150">
        <f>SUM(수입검사!G50)</f>
        <v>0</v>
      </c>
      <c r="U34" s="150">
        <f>SUM(수입검사!H50)</f>
        <v>0</v>
      </c>
      <c r="V34" s="150">
        <f>SUM(수입검사!I50)</f>
        <v>0</v>
      </c>
      <c r="W34" s="150">
        <f>SUM(수입검사!J50)</f>
        <v>0</v>
      </c>
      <c r="X34" s="150">
        <f>SUM(수입검사!K50)</f>
        <v>0</v>
      </c>
      <c r="Y34" s="150">
        <f>SUM(수입검사!L50)</f>
        <v>0</v>
      </c>
      <c r="Z34" s="150">
        <f>SUM(수입검사!M50)</f>
        <v>0</v>
      </c>
      <c r="AA34" s="150">
        <f>SUM(수입검사!N50)</f>
        <v>33.333333333333336</v>
      </c>
    </row>
    <row r="35" spans="2:27">
      <c r="O35" s="137" t="s">
        <v>60</v>
      </c>
      <c r="P35" s="150" t="str">
        <f>수입검사!C58</f>
        <v>0</v>
      </c>
      <c r="Q35" s="150" t="str">
        <f>수입검사!D58</f>
        <v>0</v>
      </c>
      <c r="R35" s="150">
        <f>수입검사!E58</f>
        <v>0</v>
      </c>
      <c r="S35" s="150">
        <f>수입검사!F58</f>
        <v>0</v>
      </c>
      <c r="T35" s="150" t="str">
        <f>수입검사!G58</f>
        <v>0</v>
      </c>
      <c r="U35" s="150" t="str">
        <f>수입검사!H58</f>
        <v>0</v>
      </c>
      <c r="V35" s="150" t="str">
        <f>수입검사!I58</f>
        <v>0</v>
      </c>
      <c r="W35" s="150" t="str">
        <f>수입검사!J58</f>
        <v>0</v>
      </c>
      <c r="X35" s="150">
        <f>수입검사!K58</f>
        <v>0</v>
      </c>
      <c r="Y35" s="150">
        <f>수입검사!L58</f>
        <v>0</v>
      </c>
      <c r="Z35" s="150" t="str">
        <f>수입검사!M58</f>
        <v>0</v>
      </c>
      <c r="AA35" s="150" t="str">
        <f>수입검사!N58</f>
        <v>0</v>
      </c>
    </row>
    <row r="36" spans="2:27">
      <c r="O36" s="137" t="s">
        <v>76</v>
      </c>
      <c r="P36" s="150" t="str">
        <f>수입검사!C62</f>
        <v>0</v>
      </c>
      <c r="Q36" s="150" t="str">
        <f>수입검사!D62</f>
        <v>0</v>
      </c>
      <c r="R36" s="150" t="str">
        <f>수입검사!E62</f>
        <v>0</v>
      </c>
      <c r="S36" s="150">
        <f>수입검사!F62</f>
        <v>0</v>
      </c>
      <c r="T36" s="150" t="str">
        <f>수입검사!G62</f>
        <v>0</v>
      </c>
      <c r="U36" s="150">
        <f>수입검사!H62</f>
        <v>0</v>
      </c>
      <c r="V36" s="150">
        <f>수입검사!I62</f>
        <v>0</v>
      </c>
      <c r="W36" s="150" t="str">
        <f>수입검사!J62</f>
        <v>0</v>
      </c>
      <c r="X36" s="150">
        <f>수입검사!K62</f>
        <v>0</v>
      </c>
      <c r="Y36" s="150" t="str">
        <f>수입검사!L62</f>
        <v>0</v>
      </c>
      <c r="Z36" s="150" t="str">
        <f>수입검사!M62</f>
        <v>0</v>
      </c>
      <c r="AA36" s="150">
        <f>수입검사!N62</f>
        <v>0</v>
      </c>
    </row>
    <row r="37" spans="2:27">
      <c r="O37" s="137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 spans="2:27">
      <c r="O38" s="149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</sheetData>
  <mergeCells count="2">
    <mergeCell ref="O2:AA2"/>
    <mergeCell ref="O29:AA29"/>
  </mergeCells>
  <phoneticPr fontId="24" type="noConversion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수입검사 대장</vt:lpstr>
      <vt:lpstr>수입검사</vt:lpstr>
      <vt:lpstr>업체별 현황</vt:lpstr>
    </vt:vector>
  </TitlesOfParts>
  <Company>NEX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Digital NEX</dc:creator>
  <dc:description/>
  <cp:lastModifiedBy>irrobot</cp:lastModifiedBy>
  <cp:revision>1</cp:revision>
  <cp:lastPrinted>2016-04-01T07:14:19Z</cp:lastPrinted>
  <dcterms:created xsi:type="dcterms:W3CDTF">2009-03-09T08:20:24Z</dcterms:created>
  <dcterms:modified xsi:type="dcterms:W3CDTF">2025-12-30T00:56:33Z</dcterms:modified>
  <dc:language>ko-KR</dc:language>
</cp:coreProperties>
</file>